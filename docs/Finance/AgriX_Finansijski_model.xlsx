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putstvo" sheetId="1" state="visible" r:id="rId3"/>
    <sheet name="Pretpostavke" sheetId="2" state="visible" r:id="rId4"/>
    <sheet name="Prihod" sheetId="3" state="visible" r:id="rId5"/>
    <sheet name="Kapacitet" sheetId="4" state="visible" r:id="rId6"/>
    <sheet name="CashFlow" sheetId="5" state="visible" r:id="rId7"/>
    <sheet name="Scenariji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<sst xmlns="http://schemas.openxmlformats.org/spreadsheetml/2006/main" count="226" uniqueCount="186">
  <si>
    <t xml:space="preserve">AgriX — Finansijski model</t>
  </si>
  <si>
    <t xml:space="preserve">Verzija 1 · 26.07.2026. · sve cene u EUR, na godišnjem nivou, bez PDV-a</t>
  </si>
  <si>
    <t xml:space="preserve">BOJE</t>
  </si>
  <si>
    <t xml:space="preserve">   Plavo — ulazna vrednost koju menjaš. Sve plavo je pretpostavka ili odluka.</t>
  </si>
  <si>
    <t xml:space="preserve">   Crno — formula. Ne menjaj.</t>
  </si>
  <si>
    <t xml:space="preserve">   Zeleno — veza ka drugom listu.</t>
  </si>
  <si>
    <t xml:space="preserve">   Žuta pozadina — mora se popuniti pre nego što model ima smisla.</t>
  </si>
  <si>
    <t xml:space="preserve">LISTOVI</t>
  </si>
  <si>
    <t xml:space="preserve">   Pretpostavke — jedino mesto gde se menjaju ulazi. Cene su preuzete iz Decision Loga.</t>
  </si>
  <si>
    <t xml:space="preserve">   Prihod — godišnji prihod po profilu klijenta i po scenariju.</t>
  </si>
  <si>
    <t xml:space="preserve">   Kapacitet — koliko sati traži baza klijenata i kada osnivač postaje usko grlo.</t>
  </si>
  <si>
    <t xml:space="preserve">   CashFlow — mesečni tok, sa uplatama koncentrisanim pre sezone.</t>
  </si>
  <si>
    <t xml:space="preserve">   Scenariji — poređenje A, B i C na jednom mestu.</t>
  </si>
  <si>
    <t xml:space="preserve">ŠTA MODEL NE RADI</t>
  </si>
  <si>
    <t xml:space="preserve">   Ne predviđa. Pokazuje šta se dešava sa prihodom i tvojim vremenom pri datim pretpostavkama.</t>
  </si>
  <si>
    <t xml:space="preserve">   Troškovi su prazni jer ih ne znam — dok se ne popune, redovi neto rezultata nemaju smisla.</t>
  </si>
  <si>
    <t xml:space="preserve">IZVOR CENA</t>
  </si>
  <si>
    <t xml:space="preserve">   Odluke 339, 341, 349–358. Profil prosečnog klijenta: 10 stanica, oko 100 kooperanata.</t>
  </si>
  <si>
    <t xml:space="preserve">   Scenariji rasta: odluka 375 (izabran scenario C).</t>
  </si>
  <si>
    <t xml:space="preserve">   Okidač za zapošljavanje: BC3 i 336 — najkasnije pri 15–20 firmi ili pre sezone 2027.</t>
  </si>
  <si>
    <t xml:space="preserve">Pretpostavke</t>
  </si>
  <si>
    <t xml:space="preserve">Plava polja su ulazi. Žuta se moraju popuniti.</t>
  </si>
  <si>
    <t xml:space="preserve">A. Cenovnik</t>
  </si>
  <si>
    <t xml:space="preserve">Stavka</t>
  </si>
  <si>
    <t xml:space="preserve">Cena</t>
  </si>
  <si>
    <t xml:space="preserve">Izvor</t>
  </si>
  <si>
    <t xml:space="preserve">Desktop Core</t>
  </si>
  <si>
    <t xml:space="preserve">odluka 349</t>
  </si>
  <si>
    <t xml:space="preserve">Desktop all-in</t>
  </si>
  <si>
    <t xml:space="preserve">Mobile</t>
  </si>
  <si>
    <t xml:space="preserve">Mobile all-in</t>
  </si>
  <si>
    <t xml:space="preserve">Stanica preko pet</t>
  </si>
  <si>
    <t xml:space="preserve">odluka 351</t>
  </si>
  <si>
    <t xml:space="preserve">Modul (SEF / Banka / Dispatch)</t>
  </si>
  <si>
    <t xml:space="preserve">odluka 350</t>
  </si>
  <si>
    <t xml:space="preserve">Modul Hladnjača / Proizvodnja</t>
  </si>
  <si>
    <t xml:space="preserve">GGAP</t>
  </si>
  <si>
    <t xml:space="preserve">odluka 352</t>
  </si>
  <si>
    <t xml:space="preserve">Gazdinstvo Pro — kanalska cena</t>
  </si>
  <si>
    <t xml:space="preserve">odluka 339</t>
  </si>
  <si>
    <t xml:space="preserve">Gazdinstvo Basic — kanalska cena</t>
  </si>
  <si>
    <t xml:space="preserve">Savetnik — osnovica</t>
  </si>
  <si>
    <t xml:space="preserve">odluka 341</t>
  </si>
  <si>
    <t xml:space="preserve">Savetnik — po gazdinstvu preko 10</t>
  </si>
  <si>
    <t xml:space="preserve">Hardverska podrška — po stanici</t>
  </si>
  <si>
    <t xml:space="preserve">odluka 357 (predlog)</t>
  </si>
  <si>
    <t xml:space="preserve">Satnica — razvoj i migracija</t>
  </si>
  <si>
    <t xml:space="preserve">odluka 353</t>
  </si>
  <si>
    <t xml:space="preserve">Satnica — obuka</t>
  </si>
  <si>
    <t xml:space="preserve">odluka 354</t>
  </si>
  <si>
    <t xml:space="preserve">B. Profil prosečnog klijenta</t>
  </si>
  <si>
    <t xml:space="preserve">Parametar</t>
  </si>
  <si>
    <t xml:space="preserve">Vrednost</t>
  </si>
  <si>
    <t xml:space="preserve">Napomena</t>
  </si>
  <si>
    <t xml:space="preserve">Prosečan broj otkupnih stanica</t>
  </si>
  <si>
    <t xml:space="preserve">iz postojeće baze</t>
  </si>
  <si>
    <t xml:space="preserve">Uključeno stanica u osnovnoj ceni</t>
  </si>
  <si>
    <t xml:space="preserve">odluka 298</t>
  </si>
  <si>
    <t xml:space="preserve">Prosečan broj kooperanata</t>
  </si>
  <si>
    <t xml:space="preserve">Konverzija kooperanata na Pro</t>
  </si>
  <si>
    <t xml:space="preserve">pretpostavka</t>
  </si>
  <si>
    <t xml:space="preserve">Udeo klijenata koji uzima GGAP</t>
  </si>
  <si>
    <t xml:space="preserve">Udeo klijenata sa hardverskom podrškom</t>
  </si>
  <si>
    <t xml:space="preserve">C. Struktura baze klijenata</t>
  </si>
  <si>
    <t xml:space="preserve">Profil</t>
  </si>
  <si>
    <t xml:space="preserve">Udeo</t>
  </si>
  <si>
    <t xml:space="preserve">Ukupno</t>
  </si>
  <si>
    <t xml:space="preserve">mora biti 100%</t>
  </si>
  <si>
    <t xml:space="preserve">D. Scenariji rasta do sezone 2027</t>
  </si>
  <si>
    <t xml:space="preserve">Scenario</t>
  </si>
  <si>
    <t xml:space="preserve">Novih klijenata</t>
  </si>
  <si>
    <t xml:space="preserve">Postojećih</t>
  </si>
  <si>
    <t xml:space="preserve">A — konzervativni</t>
  </si>
  <si>
    <t xml:space="preserve">B — balansirani</t>
  </si>
  <si>
    <t xml:space="preserve">C — agresivni</t>
  </si>
  <si>
    <t xml:space="preserve">izabran, odluka 375</t>
  </si>
  <si>
    <t xml:space="preserve">E. Kapacitet osnivača</t>
  </si>
  <si>
    <t xml:space="preserve">Radnih sati nedeljno</t>
  </si>
  <si>
    <t xml:space="preserve">unesi realnu vrednost</t>
  </si>
  <si>
    <t xml:space="preserve">Radnih nedelja godišnje</t>
  </si>
  <si>
    <t xml:space="preserve">Sati onboardinga po novom klijentu</t>
  </si>
  <si>
    <t xml:space="preserve">pola dana na licu mesta + priprema</t>
  </si>
  <si>
    <t xml:space="preserve">Sati podrške po klijentu nedeljno — van sezone</t>
  </si>
  <si>
    <t xml:space="preserve">oko jedan poziv</t>
  </si>
  <si>
    <t xml:space="preserve">Sati podrške po klijentu nedeljno — u sezoni</t>
  </si>
  <si>
    <t xml:space="preserve">jun–novembar, odluka 378</t>
  </si>
  <si>
    <t xml:space="preserve">Nedelja u sezoni</t>
  </si>
  <si>
    <t xml:space="preserve">1. jun – 30. novembar</t>
  </si>
  <si>
    <t xml:space="preserve">Sati prodaje po zatvorenom klijentu</t>
  </si>
  <si>
    <t xml:space="preserve">uključuje i neuspele prospekte</t>
  </si>
  <si>
    <t xml:space="preserve">Sati godišnje na razvoj — cilj</t>
  </si>
  <si>
    <t xml:space="preserve">ono što ne sme da padne ispod</t>
  </si>
  <si>
    <t xml:space="preserve">F. Troškovi — POPUNITI</t>
  </si>
  <si>
    <t xml:space="preserve">Godišnje</t>
  </si>
  <si>
    <t xml:space="preserve">Infrastruktura (Google, domeni, servisi)</t>
  </si>
  <si>
    <t xml:space="preserve">godišnji zbir</t>
  </si>
  <si>
    <t xml:space="preserve">Računovodstvo i administracija</t>
  </si>
  <si>
    <t xml:space="preserve">Pravni troškovi</t>
  </si>
  <si>
    <t xml:space="preserve">ugovor, LEG1 analiza</t>
  </si>
  <si>
    <t xml:space="preserve">Marketing i prodaja</t>
  </si>
  <si>
    <t xml:space="preserve">nivo iz odluke 374</t>
  </si>
  <si>
    <t xml:space="preserve">Oprema i hardver za demo</t>
  </si>
  <si>
    <t xml:space="preserve">Putni troškovi</t>
  </si>
  <si>
    <t xml:space="preserve">teren i sastanci</t>
  </si>
  <si>
    <t xml:space="preserve">Plata support osobe (bruto ukupno)</t>
  </si>
  <si>
    <t xml:space="preserve">MKT5, uvodi se po BC3 / 336</t>
  </si>
  <si>
    <t xml:space="preserve">Ostalo</t>
  </si>
  <si>
    <t xml:space="preserve">Ukupni troškovi</t>
  </si>
  <si>
    <t xml:space="preserve">Prihod</t>
  </si>
  <si>
    <t xml:space="preserve">Godišnji prihod po profilu klijenta, izveden iz Pretpostavki.</t>
  </si>
  <si>
    <t xml:space="preserve">A. Prihod po jednom klijentu</t>
  </si>
  <si>
    <t xml:space="preserve">Komponenta</t>
  </si>
  <si>
    <t xml:space="preserve">Formula / napomena</t>
  </si>
  <si>
    <t xml:space="preserve">Osnovni paket</t>
  </si>
  <si>
    <t xml:space="preserve">cene iz odluke 349</t>
  </si>
  <si>
    <t xml:space="preserve">Dodatne stanice</t>
  </si>
  <si>
    <t xml:space="preserve">prosečan broj minus uključene, po ceni iz 351</t>
  </si>
  <si>
    <t xml:space="preserve">očekivana vrednost prema udelu</t>
  </si>
  <si>
    <t xml:space="preserve">Gazdinstvo Pro</t>
  </si>
  <si>
    <t xml:space="preserve">kooperanti × konverzija × kanalska cena</t>
  </si>
  <si>
    <t xml:space="preserve">Hardverska podrška</t>
  </si>
  <si>
    <t xml:space="preserve">stanice × cena × udeo klijenata</t>
  </si>
  <si>
    <t xml:space="preserve">Ukupno po klijentu</t>
  </si>
  <si>
    <t xml:space="preserve">B. Prihod po scenariju</t>
  </si>
  <si>
    <t xml:space="preserve">Ukupno klijenata</t>
  </si>
  <si>
    <t xml:space="preserve">Prosečan prihod</t>
  </si>
  <si>
    <t xml:space="preserve">Ukupan ARR</t>
  </si>
  <si>
    <t xml:space="preserve">Scenario A</t>
  </si>
  <si>
    <t xml:space="preserve">Scenario B</t>
  </si>
  <si>
    <t xml:space="preserve">Scenario C</t>
  </si>
  <si>
    <t xml:space="preserve">izabran</t>
  </si>
  <si>
    <t xml:space="preserve">Prosečan prihod je ponderisan strukturom baze iz odeljka C Pretpostavki. Model ne razlikuje postojeće klijente po staroj ceni (odluka 334) — za prvu godinu njihov prihod treba uneti posebno.</t>
  </si>
  <si>
    <t xml:space="preserve">Kapacitet</t>
  </si>
  <si>
    <t xml:space="preserve">Koliko sati traži baza klijenata i kada osnivač postaje usko grlo.</t>
  </si>
  <si>
    <t xml:space="preserve">A. Raspoloživo vreme</t>
  </si>
  <si>
    <t xml:space="preserve">Ukupno sati godišnje</t>
  </si>
  <si>
    <t xml:space="preserve">B. Potrebno vreme po broju klijenata</t>
  </si>
  <si>
    <t xml:space="preserve">8 klijenata</t>
  </si>
  <si>
    <t xml:space="preserve">12 klijenata</t>
  </si>
  <si>
    <t xml:space="preserve">18 klijenata</t>
  </si>
  <si>
    <t xml:space="preserve">Podrška van sezone</t>
  </si>
  <si>
    <t xml:space="preserve">klijenti × sati nedeljno × nedelja</t>
  </si>
  <si>
    <t xml:space="preserve">Podrška u sezoni</t>
  </si>
  <si>
    <t xml:space="preserve">jun–novembar</t>
  </si>
  <si>
    <t xml:space="preserve">Onboarding novih</t>
  </si>
  <si>
    <t xml:space="preserve">samo novi klijenti</t>
  </si>
  <si>
    <t xml:space="preserve">Prodaja</t>
  </si>
  <si>
    <t xml:space="preserve">uključuje neuspele prospekte</t>
  </si>
  <si>
    <t xml:space="preserve">Ukupno potrebno</t>
  </si>
  <si>
    <t xml:space="preserve">Preostalo za razvoj</t>
  </si>
  <si>
    <t xml:space="preserve">Cilj za razvoj</t>
  </si>
  <si>
    <t xml:space="preserve">Status</t>
  </si>
  <si>
    <t xml:space="preserve">C. Okidač za zapošljavanje</t>
  </si>
  <si>
    <t xml:space="preserve">Odluka BC3 i 336: druga tehnički ovlašćena osoba uvodi se najkasnije pri 15–20 aktivnih firmi.</t>
  </si>
  <si>
    <t xml:space="preserve">Sezona jun–novembar (odluka 378) znači šest meseci pojačane podrške, pa okidač u praksi pada pre 1. juna 2027.</t>
  </si>
  <si>
    <t xml:space="preserve">Ako red Status pokazuje da nedostaje vremena već pri 12 klijenata, zapošljavanje ne čeka brojku iz BC3.</t>
  </si>
  <si>
    <t xml:space="preserve">Mesečni tok novca — scenario C</t>
  </si>
  <si>
    <t xml:space="preserve">Uplate su koncentrisane pre sezone (odluke 325, 326).</t>
  </si>
  <si>
    <t xml:space="preserve">Jan</t>
  </si>
  <si>
    <t xml:space="preserve">Feb</t>
  </si>
  <si>
    <t xml:space="preserve">Mar</t>
  </si>
  <si>
    <t xml:space="preserve">Apr</t>
  </si>
  <si>
    <t xml:space="preserve">Maj</t>
  </si>
  <si>
    <t xml:space="preserve">Jun</t>
  </si>
  <si>
    <t xml:space="preserve">Jul</t>
  </si>
  <si>
    <t xml:space="preserve">Avg</t>
  </si>
  <si>
    <t xml:space="preserve">Sep</t>
  </si>
  <si>
    <t xml:space="preserve">Okt</t>
  </si>
  <si>
    <t xml:space="preserve">Nov</t>
  </si>
  <si>
    <t xml:space="preserve">Dec</t>
  </si>
  <si>
    <t xml:space="preserve">Raspored uplata (%)</t>
  </si>
  <si>
    <t xml:space="preserve">Troškovi</t>
  </si>
  <si>
    <t xml:space="preserve">Neto</t>
  </si>
  <si>
    <t xml:space="preserve">Kumulativno</t>
  </si>
  <si>
    <t xml:space="preserve">Raspored uplata je pretpostavka — promeni plavi red ako se tvoja praksa razlikuje. Troškovi su ravnomerno raspoređeni; ako neka stavka nije, razdvoj je u poseban red.</t>
  </si>
  <si>
    <t xml:space="preserve">Poređenje scenarija</t>
  </si>
  <si>
    <t xml:space="preserve">Sve vrednosti se izvode iz Pretpostavki i ostalih listova.</t>
  </si>
  <si>
    <t xml:space="preserve">Pokazatelj</t>
  </si>
  <si>
    <t xml:space="preserve">Prihod po klijentu</t>
  </si>
  <si>
    <t xml:space="preserve">isti u sva tri dok se ne razdvoje</t>
  </si>
  <si>
    <t xml:space="preserve">Neto rezultat</t>
  </si>
  <si>
    <t xml:space="preserve">nema smisla dok troškovi nisu popunjeni</t>
  </si>
  <si>
    <t xml:space="preserve">Potrebno sati godišnje</t>
  </si>
  <si>
    <t xml:space="preserve">kolone 8 / 12 / 18 klijenata</t>
  </si>
  <si>
    <t xml:space="preserve">Druga osoba obavezna</t>
  </si>
  <si>
    <t xml:space="preserve">prag iz BC3 i 336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</si>
</sst>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\(#,##0&quot; €)&quot;;\-"/>
    <numFmt numFmtId="166" formatCode="#,##0;\(#,##0\);\-"/>
    <numFmt numFmtId="167" formatCode="0%"/>
    <numFmt numFmtId="168" formatCode="#,##0&quot; h&quot;"/>
    <numFmt numFmtId="169" formatCode="0.0&quot; h&quot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2D14"/>
      <name val="Arial"/>
      <family val="0"/>
      <charset val="1"/>
    </font>
    <font>
      <sz val="8"/>
      <color rgb="FF7A856E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1E2D14"/>
      <name val="Arial"/>
      <family val="0"/>
      <charset val="1"/>
    </font>
    <font>
      <b val="true"/>
      <sz val="11"/>
      <color rgb="FF1E2D1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E2D14"/>
        <bgColor rgb="FF333333"/>
      </patternFill>
    </fill>
    <fill>
      <patternFill patternType="solid">
        <fgColor rgb="FFFFFF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8A84B"/>
      </bottom>
      <diagonal/>
    </border>
    <border diagonalUp="false" diagonalDown="false">
      <left style="thin">
        <color rgb="FFD8D2C2"/>
      </left>
      <right style="thin">
        <color rgb="FFD8D2C2"/>
      </right>
      <top style="thin">
        <color rgb="FFD8D2C2"/>
      </top>
      <bottom style="thin">
        <color rgb="FFD8D2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2"/>
      <rgbColor rgb="FF7A856E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C8A84B"/>
      <rgbColor rgb="FF003366"/>
      <rgbColor rgb="FF339966"/>
      <rgbColor rgb="FF003300"/>
      <rgbColor rgb="FF1E2D14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/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4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3"/>
    </row>
    <row r="21" customFormat="false" ht="15" hidden="false" customHeight="false" outlineLevel="0" collapsed="false">
      <c r="A21" s="4" t="s">
        <v>16</v>
      </c>
    </row>
    <row r="22" customFormat="false" ht="1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4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21</v>
      </c>
    </row>
    <row r="4" customFormat="false" ht="15" hidden="false" customHeight="false" outlineLevel="0" collapsed="false">
      <c r="A4" s="5" t="s">
        <v>22</v>
      </c>
      <c r="B4" s="6"/>
      <c r="C4" s="6"/>
      <c r="D4" s="6"/>
      <c r="E4" s="6"/>
      <c r="F4" s="6"/>
      <c r="G4" s="6"/>
    </row>
    <row r="5" customFormat="false" ht="25.5" hidden="false" customHeight="true" outlineLevel="0" collapsed="false">
      <c r="A5" s="7" t="s">
        <v>23</v>
      </c>
      <c r="B5" s="7" t="s">
        <v>24</v>
      </c>
      <c r="C5" s="7"/>
      <c r="D5" s="7"/>
      <c r="E5" s="7"/>
      <c r="F5" s="7"/>
      <c r="G5" s="7" t="s">
        <v>25</v>
      </c>
    </row>
    <row r="6" customFormat="false" ht="15" hidden="false" customHeight="false" outlineLevel="0" collapsed="false">
      <c r="A6" s="8" t="s">
        <v>26</v>
      </c>
      <c r="B6" s="9" t="n">
        <v>500</v>
      </c>
      <c r="G6" s="10" t="s">
        <v>27</v>
      </c>
    </row>
    <row r="7" customFormat="false" ht="15" hidden="false" customHeight="false" outlineLevel="0" collapsed="false">
      <c r="A7" s="8" t="s">
        <v>28</v>
      </c>
      <c r="B7" s="9" t="n">
        <v>1100</v>
      </c>
      <c r="G7" s="10" t="s">
        <v>27</v>
      </c>
    </row>
    <row r="8" customFormat="false" ht="15" hidden="false" customHeight="false" outlineLevel="0" collapsed="false">
      <c r="A8" s="8" t="s">
        <v>29</v>
      </c>
      <c r="B8" s="9" t="n">
        <v>1500</v>
      </c>
      <c r="G8" s="10" t="s">
        <v>27</v>
      </c>
    </row>
    <row r="9" customFormat="false" ht="15" hidden="false" customHeight="false" outlineLevel="0" collapsed="false">
      <c r="A9" s="8" t="s">
        <v>30</v>
      </c>
      <c r="B9" s="9" t="n">
        <v>2100</v>
      </c>
      <c r="G9" s="10" t="s">
        <v>27</v>
      </c>
    </row>
    <row r="10" customFormat="false" ht="15" hidden="false" customHeight="false" outlineLevel="0" collapsed="false">
      <c r="A10" s="8" t="s">
        <v>31</v>
      </c>
      <c r="B10" s="9" t="n">
        <v>50</v>
      </c>
      <c r="G10" s="10" t="s">
        <v>32</v>
      </c>
    </row>
    <row r="11" customFormat="false" ht="15" hidden="false" customHeight="false" outlineLevel="0" collapsed="false">
      <c r="A11" s="8" t="s">
        <v>33</v>
      </c>
      <c r="B11" s="9" t="n">
        <v>200</v>
      </c>
      <c r="G11" s="10" t="s">
        <v>34</v>
      </c>
    </row>
    <row r="12" customFormat="false" ht="15" hidden="false" customHeight="false" outlineLevel="0" collapsed="false">
      <c r="A12" s="8" t="s">
        <v>35</v>
      </c>
      <c r="B12" s="9" t="n">
        <v>400</v>
      </c>
      <c r="G12" s="10" t="s">
        <v>34</v>
      </c>
    </row>
    <row r="13" customFormat="false" ht="15" hidden="false" customHeight="false" outlineLevel="0" collapsed="false">
      <c r="A13" s="8" t="s">
        <v>36</v>
      </c>
      <c r="B13" s="9" t="n">
        <v>1000</v>
      </c>
      <c r="G13" s="10" t="s">
        <v>37</v>
      </c>
    </row>
    <row r="14" customFormat="false" ht="15" hidden="false" customHeight="false" outlineLevel="0" collapsed="false">
      <c r="A14" s="8" t="s">
        <v>38</v>
      </c>
      <c r="B14" s="9" t="n">
        <v>20</v>
      </c>
      <c r="G14" s="10" t="s">
        <v>39</v>
      </c>
    </row>
    <row r="15" customFormat="false" ht="15" hidden="false" customHeight="false" outlineLevel="0" collapsed="false">
      <c r="A15" s="8" t="s">
        <v>40</v>
      </c>
      <c r="B15" s="9" t="n">
        <v>10</v>
      </c>
      <c r="G15" s="10" t="s">
        <v>39</v>
      </c>
    </row>
    <row r="16" customFormat="false" ht="15" hidden="false" customHeight="false" outlineLevel="0" collapsed="false">
      <c r="A16" s="8" t="s">
        <v>41</v>
      </c>
      <c r="B16" s="9" t="n">
        <v>150</v>
      </c>
      <c r="G16" s="10" t="s">
        <v>42</v>
      </c>
    </row>
    <row r="17" customFormat="false" ht="15" hidden="false" customHeight="false" outlineLevel="0" collapsed="false">
      <c r="A17" s="8" t="s">
        <v>43</v>
      </c>
      <c r="B17" s="9" t="n">
        <v>15</v>
      </c>
      <c r="G17" s="10" t="s">
        <v>42</v>
      </c>
    </row>
    <row r="18" customFormat="false" ht="15" hidden="false" customHeight="false" outlineLevel="0" collapsed="false">
      <c r="A18" s="8" t="s">
        <v>44</v>
      </c>
      <c r="B18" s="9" t="n">
        <v>40</v>
      </c>
      <c r="G18" s="10" t="s">
        <v>45</v>
      </c>
    </row>
    <row r="19" customFormat="false" ht="15" hidden="false" customHeight="false" outlineLevel="0" collapsed="false">
      <c r="A19" s="8" t="s">
        <v>46</v>
      </c>
      <c r="B19" s="9" t="n">
        <v>50</v>
      </c>
      <c r="G19" s="10" t="s">
        <v>47</v>
      </c>
    </row>
    <row r="20" customFormat="false" ht="15" hidden="false" customHeight="false" outlineLevel="0" collapsed="false">
      <c r="A20" s="8" t="s">
        <v>48</v>
      </c>
      <c r="B20" s="9" t="n">
        <v>30</v>
      </c>
      <c r="G20" s="10" t="s">
        <v>49</v>
      </c>
    </row>
    <row r="22" customFormat="false" ht="15" hidden="false" customHeight="false" outlineLevel="0" collapsed="false">
      <c r="A22" s="5" t="s">
        <v>50</v>
      </c>
      <c r="B22" s="6"/>
      <c r="C22" s="6"/>
      <c r="D22" s="6"/>
      <c r="E22" s="6"/>
      <c r="F22" s="6"/>
      <c r="G22" s="6"/>
    </row>
    <row r="23" customFormat="false" ht="25.5" hidden="false" customHeight="true" outlineLevel="0" collapsed="false">
      <c r="A23" s="7" t="s">
        <v>51</v>
      </c>
      <c r="B23" s="7" t="s">
        <v>52</v>
      </c>
      <c r="C23" s="7"/>
      <c r="D23" s="7"/>
      <c r="E23" s="7"/>
      <c r="F23" s="7"/>
      <c r="G23" s="7" t="s">
        <v>53</v>
      </c>
    </row>
    <row r="24" customFormat="false" ht="15" hidden="false" customHeight="false" outlineLevel="0" collapsed="false">
      <c r="A24" s="8" t="s">
        <v>54</v>
      </c>
      <c r="B24" s="11" t="n">
        <v>10</v>
      </c>
      <c r="G24" s="10" t="s">
        <v>55</v>
      </c>
    </row>
    <row r="25" customFormat="false" ht="15" hidden="false" customHeight="false" outlineLevel="0" collapsed="false">
      <c r="A25" s="8" t="s">
        <v>56</v>
      </c>
      <c r="B25" s="11" t="n">
        <v>5</v>
      </c>
      <c r="G25" s="10" t="s">
        <v>57</v>
      </c>
    </row>
    <row r="26" customFormat="false" ht="15" hidden="false" customHeight="false" outlineLevel="0" collapsed="false">
      <c r="A26" s="8" t="s">
        <v>58</v>
      </c>
      <c r="B26" s="11" t="n">
        <v>100</v>
      </c>
      <c r="G26" s="10" t="s">
        <v>55</v>
      </c>
    </row>
    <row r="27" customFormat="false" ht="15" hidden="false" customHeight="false" outlineLevel="0" collapsed="false">
      <c r="A27" s="8" t="s">
        <v>59</v>
      </c>
      <c r="B27" s="12" t="n">
        <v>0.05</v>
      </c>
      <c r="G27" s="10" t="s">
        <v>60</v>
      </c>
    </row>
    <row r="28" customFormat="false" ht="15" hidden="false" customHeight="false" outlineLevel="0" collapsed="false">
      <c r="A28" s="8" t="s">
        <v>61</v>
      </c>
      <c r="B28" s="12" t="n">
        <v>0.2</v>
      </c>
      <c r="G28" s="10" t="s">
        <v>60</v>
      </c>
    </row>
    <row r="29" customFormat="false" ht="15" hidden="false" customHeight="false" outlineLevel="0" collapsed="false">
      <c r="A29" s="8" t="s">
        <v>62</v>
      </c>
      <c r="B29" s="12" t="n">
        <v>0.5</v>
      </c>
      <c r="G29" s="10" t="s">
        <v>60</v>
      </c>
    </row>
    <row r="31" customFormat="false" ht="15" hidden="false" customHeight="false" outlineLevel="0" collapsed="false">
      <c r="A31" s="5" t="s">
        <v>63</v>
      </c>
      <c r="B31" s="6"/>
      <c r="C31" s="6"/>
      <c r="D31" s="6"/>
      <c r="E31" s="6"/>
      <c r="F31" s="6"/>
      <c r="G31" s="6"/>
    </row>
    <row r="32" customFormat="false" ht="25.5" hidden="false" customHeight="true" outlineLevel="0" collapsed="false">
      <c r="A32" s="7" t="s">
        <v>64</v>
      </c>
      <c r="B32" s="7" t="s">
        <v>65</v>
      </c>
      <c r="C32" s="7"/>
      <c r="D32" s="7"/>
      <c r="E32" s="7"/>
      <c r="F32" s="7"/>
      <c r="G32" s="7" t="s">
        <v>53</v>
      </c>
    </row>
    <row r="33" customFormat="false" ht="15" hidden="false" customHeight="false" outlineLevel="0" collapsed="false">
      <c r="A33" s="8" t="s">
        <v>26</v>
      </c>
      <c r="B33" s="12" t="n">
        <v>0.3</v>
      </c>
      <c r="G33" s="13"/>
    </row>
    <row r="34" customFormat="false" ht="15" hidden="false" customHeight="false" outlineLevel="0" collapsed="false">
      <c r="A34" s="8" t="s">
        <v>28</v>
      </c>
      <c r="B34" s="12" t="n">
        <v>0.35</v>
      </c>
      <c r="G34" s="13"/>
    </row>
    <row r="35" customFormat="false" ht="15" hidden="false" customHeight="false" outlineLevel="0" collapsed="false">
      <c r="A35" s="8" t="s">
        <v>30</v>
      </c>
      <c r="B35" s="12" t="n">
        <v>0.35</v>
      </c>
      <c r="G35" s="13"/>
    </row>
    <row r="36" customFormat="false" ht="15" hidden="false" customHeight="false" outlineLevel="0" collapsed="false">
      <c r="A36" s="14" t="s">
        <v>66</v>
      </c>
      <c r="B36" s="15" t="n">
        <f aca="false">SUM(B33:B35)</f>
        <v>1</v>
      </c>
      <c r="G36" s="2" t="s">
        <v>67</v>
      </c>
    </row>
    <row r="38" customFormat="false" ht="15" hidden="false" customHeight="false" outlineLevel="0" collapsed="false">
      <c r="A38" s="5" t="s">
        <v>68</v>
      </c>
      <c r="B38" s="6"/>
      <c r="C38" s="6"/>
      <c r="D38" s="6"/>
      <c r="E38" s="6"/>
      <c r="F38" s="6"/>
      <c r="G38" s="6"/>
    </row>
    <row r="39" customFormat="false" ht="25.5" hidden="false" customHeight="true" outlineLevel="0" collapsed="false">
      <c r="A39" s="7" t="s">
        <v>69</v>
      </c>
      <c r="B39" s="7" t="s">
        <v>70</v>
      </c>
      <c r="C39" s="7" t="s">
        <v>71</v>
      </c>
      <c r="D39" s="7" t="s">
        <v>66</v>
      </c>
      <c r="E39" s="7"/>
      <c r="F39" s="7"/>
      <c r="G39" s="7" t="s">
        <v>53</v>
      </c>
    </row>
    <row r="40" customFormat="false" ht="15" hidden="false" customHeight="false" outlineLevel="0" collapsed="false">
      <c r="A40" s="8" t="s">
        <v>72</v>
      </c>
      <c r="B40" s="11" t="n">
        <v>5</v>
      </c>
      <c r="C40" s="11" t="n">
        <v>3</v>
      </c>
      <c r="D40" s="16" t="n">
        <f aca="false">B40+C40</f>
        <v>8</v>
      </c>
      <c r="G40" s="10"/>
    </row>
    <row r="41" customFormat="false" ht="15" hidden="false" customHeight="false" outlineLevel="0" collapsed="false">
      <c r="A41" s="8" t="s">
        <v>73</v>
      </c>
      <c r="B41" s="11" t="n">
        <v>8</v>
      </c>
      <c r="C41" s="11" t="n">
        <v>3</v>
      </c>
      <c r="D41" s="16" t="n">
        <f aca="false">B41+C41</f>
        <v>11</v>
      </c>
      <c r="G41" s="10"/>
    </row>
    <row r="42" customFormat="false" ht="15" hidden="false" customHeight="false" outlineLevel="0" collapsed="false">
      <c r="A42" s="8" t="s">
        <v>74</v>
      </c>
      <c r="B42" s="11" t="n">
        <v>14</v>
      </c>
      <c r="C42" s="11" t="n">
        <v>3</v>
      </c>
      <c r="D42" s="16" t="n">
        <f aca="false">B42+C42</f>
        <v>17</v>
      </c>
      <c r="G42" s="10" t="s">
        <v>75</v>
      </c>
    </row>
    <row r="44" customFormat="false" ht="15" hidden="false" customHeight="false" outlineLevel="0" collapsed="false">
      <c r="A44" s="5" t="s">
        <v>76</v>
      </c>
      <c r="B44" s="6"/>
      <c r="C44" s="6"/>
      <c r="D44" s="6"/>
      <c r="E44" s="6"/>
      <c r="F44" s="6"/>
      <c r="G44" s="6"/>
    </row>
    <row r="45" customFormat="false" ht="25.5" hidden="false" customHeight="true" outlineLevel="0" collapsed="false">
      <c r="A45" s="7" t="s">
        <v>51</v>
      </c>
      <c r="B45" s="7" t="s">
        <v>52</v>
      </c>
      <c r="C45" s="7"/>
      <c r="D45" s="7"/>
      <c r="E45" s="7"/>
      <c r="F45" s="7"/>
      <c r="G45" s="7" t="s">
        <v>53</v>
      </c>
    </row>
    <row r="46" customFormat="false" ht="15" hidden="false" customHeight="false" outlineLevel="0" collapsed="false">
      <c r="A46" s="8" t="s">
        <v>77</v>
      </c>
      <c r="B46" s="17" t="n">
        <v>60</v>
      </c>
      <c r="G46" s="10" t="s">
        <v>78</v>
      </c>
    </row>
    <row r="47" customFormat="false" ht="15" hidden="false" customHeight="false" outlineLevel="0" collapsed="false">
      <c r="A47" s="8" t="s">
        <v>79</v>
      </c>
      <c r="B47" s="11" t="n">
        <v>50</v>
      </c>
      <c r="G47" s="10"/>
    </row>
    <row r="48" customFormat="false" ht="15" hidden="false" customHeight="false" outlineLevel="0" collapsed="false">
      <c r="A48" s="8" t="s">
        <v>80</v>
      </c>
      <c r="B48" s="17" t="n">
        <v>12</v>
      </c>
      <c r="G48" s="10" t="s">
        <v>81</v>
      </c>
    </row>
    <row r="49" customFormat="false" ht="15" hidden="false" customHeight="false" outlineLevel="0" collapsed="false">
      <c r="A49" s="8" t="s">
        <v>82</v>
      </c>
      <c r="B49" s="18" t="n">
        <v>0.5</v>
      </c>
      <c r="G49" s="10" t="s">
        <v>83</v>
      </c>
    </row>
    <row r="50" customFormat="false" ht="15" hidden="false" customHeight="false" outlineLevel="0" collapsed="false">
      <c r="A50" s="8" t="s">
        <v>84</v>
      </c>
      <c r="B50" s="18" t="n">
        <v>1.5</v>
      </c>
      <c r="G50" s="10" t="s">
        <v>85</v>
      </c>
    </row>
    <row r="51" customFormat="false" ht="15" hidden="false" customHeight="false" outlineLevel="0" collapsed="false">
      <c r="A51" s="8" t="s">
        <v>86</v>
      </c>
      <c r="B51" s="11" t="n">
        <v>26</v>
      </c>
      <c r="G51" s="10" t="s">
        <v>87</v>
      </c>
    </row>
    <row r="52" customFormat="false" ht="15" hidden="false" customHeight="false" outlineLevel="0" collapsed="false">
      <c r="A52" s="8" t="s">
        <v>88</v>
      </c>
      <c r="B52" s="17" t="n">
        <v>40</v>
      </c>
      <c r="G52" s="10" t="s">
        <v>89</v>
      </c>
    </row>
    <row r="53" customFormat="false" ht="15" hidden="false" customHeight="false" outlineLevel="0" collapsed="false">
      <c r="A53" s="8" t="s">
        <v>90</v>
      </c>
      <c r="B53" s="17" t="n">
        <v>900</v>
      </c>
      <c r="G53" s="10" t="s">
        <v>91</v>
      </c>
    </row>
    <row r="55" customFormat="false" ht="15" hidden="false" customHeight="false" outlineLevel="0" collapsed="false">
      <c r="A55" s="5" t="s">
        <v>92</v>
      </c>
      <c r="B55" s="6"/>
      <c r="C55" s="6"/>
      <c r="D55" s="6"/>
      <c r="E55" s="6"/>
      <c r="F55" s="6"/>
      <c r="G55" s="6"/>
    </row>
    <row r="56" customFormat="false" ht="25.5" hidden="false" customHeight="true" outlineLevel="0" collapsed="false">
      <c r="A56" s="7" t="s">
        <v>23</v>
      </c>
      <c r="B56" s="7" t="s">
        <v>93</v>
      </c>
      <c r="C56" s="7"/>
      <c r="D56" s="7"/>
      <c r="E56" s="7"/>
      <c r="F56" s="7"/>
      <c r="G56" s="7" t="s">
        <v>53</v>
      </c>
    </row>
    <row r="57" customFormat="false" ht="15" hidden="false" customHeight="false" outlineLevel="0" collapsed="false">
      <c r="A57" s="8" t="s">
        <v>94</v>
      </c>
      <c r="B57" s="19" t="n">
        <v>0</v>
      </c>
      <c r="G57" s="10" t="s">
        <v>95</v>
      </c>
    </row>
    <row r="58" customFormat="false" ht="15" hidden="false" customHeight="false" outlineLevel="0" collapsed="false">
      <c r="A58" s="8" t="s">
        <v>96</v>
      </c>
      <c r="B58" s="19" t="n">
        <v>0</v>
      </c>
      <c r="G58" s="10"/>
    </row>
    <row r="59" customFormat="false" ht="15" hidden="false" customHeight="false" outlineLevel="0" collapsed="false">
      <c r="A59" s="8" t="s">
        <v>97</v>
      </c>
      <c r="B59" s="19" t="n">
        <v>0</v>
      </c>
      <c r="G59" s="10" t="s">
        <v>98</v>
      </c>
    </row>
    <row r="60" customFormat="false" ht="15" hidden="false" customHeight="false" outlineLevel="0" collapsed="false">
      <c r="A60" s="8" t="s">
        <v>99</v>
      </c>
      <c r="B60" s="19" t="n">
        <v>0</v>
      </c>
      <c r="G60" s="10" t="s">
        <v>100</v>
      </c>
    </row>
    <row r="61" customFormat="false" ht="15" hidden="false" customHeight="false" outlineLevel="0" collapsed="false">
      <c r="A61" s="8" t="s">
        <v>101</v>
      </c>
      <c r="B61" s="19" t="n">
        <v>0</v>
      </c>
      <c r="G61" s="10"/>
    </row>
    <row r="62" customFormat="false" ht="15" hidden="false" customHeight="false" outlineLevel="0" collapsed="false">
      <c r="A62" s="8" t="s">
        <v>102</v>
      </c>
      <c r="B62" s="19" t="n">
        <v>0</v>
      </c>
      <c r="G62" s="10" t="s">
        <v>103</v>
      </c>
    </row>
    <row r="63" customFormat="false" ht="15" hidden="false" customHeight="false" outlineLevel="0" collapsed="false">
      <c r="A63" s="8" t="s">
        <v>104</v>
      </c>
      <c r="B63" s="19" t="n">
        <v>0</v>
      </c>
      <c r="G63" s="10" t="s">
        <v>105</v>
      </c>
    </row>
    <row r="64" customFormat="false" ht="15" hidden="false" customHeight="false" outlineLevel="0" collapsed="false">
      <c r="A64" s="8" t="s">
        <v>106</v>
      </c>
      <c r="B64" s="19" t="n">
        <v>0</v>
      </c>
      <c r="G64" s="10"/>
    </row>
    <row r="65" customFormat="false" ht="15" hidden="false" customHeight="false" outlineLevel="0" collapsed="false">
      <c r="A65" s="14" t="s">
        <v>107</v>
      </c>
      <c r="B65" s="20" t="n">
        <f aca="false">SUM(B57:B64)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6"/>
    <col collapsed="false" customWidth="true" hidden="false" outlineLevel="0" max="5" min="5" style="0" width="6"/>
    <col collapsed="false" customWidth="true" hidden="false" outlineLevel="0" max="6" min="6" style="0" width="44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4" customFormat="false" ht="15" hidden="false" customHeight="false" outlineLevel="0" collapsed="false">
      <c r="A4" s="5" t="s">
        <v>110</v>
      </c>
      <c r="B4" s="6"/>
      <c r="C4" s="6"/>
      <c r="D4" s="6"/>
      <c r="E4" s="6"/>
      <c r="F4" s="6"/>
      <c r="G4" s="6"/>
    </row>
    <row r="5" customFormat="false" ht="25.5" hidden="false" customHeight="true" outlineLevel="0" collapsed="false">
      <c r="A5" s="7" t="s">
        <v>111</v>
      </c>
      <c r="B5" s="7" t="s">
        <v>26</v>
      </c>
      <c r="C5" s="7" t="s">
        <v>28</v>
      </c>
      <c r="D5" s="7" t="s">
        <v>30</v>
      </c>
      <c r="E5" s="7"/>
      <c r="F5" s="7" t="s">
        <v>112</v>
      </c>
    </row>
    <row r="6" customFormat="false" ht="15" hidden="false" customHeight="false" outlineLevel="0" collapsed="false">
      <c r="A6" s="8" t="s">
        <v>113</v>
      </c>
      <c r="B6" s="21" t="n">
        <f aca="false">Pretpostavke!$B$6</f>
        <v>500</v>
      </c>
      <c r="C6" s="21" t="n">
        <f aca="false">Pretpostavke!$B$7</f>
        <v>1100</v>
      </c>
      <c r="D6" s="21" t="n">
        <f aca="false">Pretpostavke!$B$9</f>
        <v>2100</v>
      </c>
      <c r="F6" s="10" t="s">
        <v>114</v>
      </c>
    </row>
    <row r="7" customFormat="false" ht="15" hidden="false" customHeight="false" outlineLevel="0" collapsed="false">
      <c r="A7" s="8" t="s">
        <v>115</v>
      </c>
      <c r="B7" s="21" t="n">
        <f aca="false">(Pretpostavke!$B$24-Pretpostavke!$B$25)*Pretpostavke!$B$10</f>
        <v>250</v>
      </c>
      <c r="C7" s="21" t="n">
        <f aca="false">(Pretpostavke!$B$24-Pretpostavke!$B$25)*Pretpostavke!$B$10</f>
        <v>250</v>
      </c>
      <c r="D7" s="21" t="n">
        <f aca="false">(Pretpostavke!$B$24-Pretpostavke!$B$25)*Pretpostavke!$B$10</f>
        <v>250</v>
      </c>
      <c r="F7" s="10" t="s">
        <v>116</v>
      </c>
    </row>
    <row r="8" customFormat="false" ht="15" hidden="false" customHeight="false" outlineLevel="0" collapsed="false">
      <c r="A8" s="8" t="s">
        <v>36</v>
      </c>
      <c r="B8" s="21" t="n">
        <f aca="false">Pretpostavke!$B$13*Pretpostavke!$B$28</f>
        <v>200</v>
      </c>
      <c r="C8" s="21" t="n">
        <f aca="false">Pretpostavke!$B$13*Pretpostavke!$B$28</f>
        <v>200</v>
      </c>
      <c r="D8" s="21" t="n">
        <f aca="false">Pretpostavke!$B$13*Pretpostavke!$B$28</f>
        <v>200</v>
      </c>
      <c r="F8" s="10" t="s">
        <v>117</v>
      </c>
    </row>
    <row r="9" customFormat="false" ht="15" hidden="false" customHeight="false" outlineLevel="0" collapsed="false">
      <c r="A9" s="8" t="s">
        <v>118</v>
      </c>
      <c r="B9" s="21" t="n">
        <f aca="false">Pretpostavke!$B$26*Pretpostavke!$B$27*Pretpostavke!$B$14</f>
        <v>100</v>
      </c>
      <c r="C9" s="21" t="n">
        <f aca="false">Pretpostavke!$B$26*Pretpostavke!$B$27*Pretpostavke!$B$14</f>
        <v>100</v>
      </c>
      <c r="D9" s="21" t="n">
        <f aca="false">Pretpostavke!$B$26*Pretpostavke!$B$27*Pretpostavke!$B$14</f>
        <v>100</v>
      </c>
      <c r="F9" s="10" t="s">
        <v>119</v>
      </c>
    </row>
    <row r="10" customFormat="false" ht="15" hidden="false" customHeight="false" outlineLevel="0" collapsed="false">
      <c r="A10" s="8" t="s">
        <v>120</v>
      </c>
      <c r="B10" s="21" t="n">
        <f aca="false">Pretpostavke!$B$24*Pretpostavke!$B$18*Pretpostavke!$B$29</f>
        <v>200</v>
      </c>
      <c r="C10" s="21" t="n">
        <f aca="false">Pretpostavke!$B$24*Pretpostavke!$B$18*Pretpostavke!$B$29</f>
        <v>200</v>
      </c>
      <c r="D10" s="21" t="n">
        <f aca="false">Pretpostavke!$B$24*Pretpostavke!$B$18*Pretpostavke!$B$29</f>
        <v>200</v>
      </c>
      <c r="F10" s="10" t="s">
        <v>121</v>
      </c>
    </row>
    <row r="11" customFormat="false" ht="15" hidden="false" customHeight="false" outlineLevel="0" collapsed="false">
      <c r="A11" s="22" t="s">
        <v>122</v>
      </c>
      <c r="B11" s="23" t="n">
        <f aca="false">SUM(B6:B10)</f>
        <v>1250</v>
      </c>
      <c r="C11" s="23" t="n">
        <f aca="false">SUM(C6:C10)</f>
        <v>1850</v>
      </c>
      <c r="D11" s="23" t="n">
        <f aca="false">SUM(D6:D10)</f>
        <v>2850</v>
      </c>
    </row>
    <row r="13" customFormat="false" ht="15" hidden="false" customHeight="false" outlineLevel="0" collapsed="false">
      <c r="A13" s="5" t="s">
        <v>123</v>
      </c>
      <c r="B13" s="6"/>
      <c r="C13" s="6"/>
      <c r="D13" s="6"/>
      <c r="E13" s="6"/>
      <c r="F13" s="6"/>
      <c r="G13" s="6"/>
    </row>
    <row r="14" customFormat="false" ht="25.5" hidden="false" customHeight="true" outlineLevel="0" collapsed="false">
      <c r="A14" s="7" t="s">
        <v>69</v>
      </c>
      <c r="B14" s="7" t="s">
        <v>124</v>
      </c>
      <c r="C14" s="7" t="s">
        <v>125</v>
      </c>
      <c r="D14" s="7" t="s">
        <v>126</v>
      </c>
      <c r="E14" s="7"/>
      <c r="F14" s="7" t="s">
        <v>53</v>
      </c>
    </row>
    <row r="15" customFormat="false" ht="15" hidden="false" customHeight="false" outlineLevel="0" collapsed="false">
      <c r="A15" s="8" t="s">
        <v>127</v>
      </c>
      <c r="B15" s="24" t="n">
        <f aca="false">Pretpostavke!$D$40</f>
        <v>8</v>
      </c>
      <c r="C15" s="21" t="n">
        <f aca="false">$B$11*Pretpostavke!$B$33+$C$11*Pretpostavke!$B$34+$D$11*Pretpostavke!$B$35</f>
        <v>2020</v>
      </c>
      <c r="D15" s="23" t="n">
        <f aca="false">B15*C15</f>
        <v>16160</v>
      </c>
      <c r="F15" s="10"/>
    </row>
    <row r="16" customFormat="false" ht="15" hidden="false" customHeight="false" outlineLevel="0" collapsed="false">
      <c r="A16" s="8" t="s">
        <v>128</v>
      </c>
      <c r="B16" s="24" t="n">
        <f aca="false">Pretpostavke!$D$41</f>
        <v>11</v>
      </c>
      <c r="C16" s="21" t="n">
        <f aca="false">$B$11*Pretpostavke!$B$33+$C$11*Pretpostavke!$B$34+$D$11*Pretpostavke!$B$35</f>
        <v>2020</v>
      </c>
      <c r="D16" s="23" t="n">
        <f aca="false">B16*C16</f>
        <v>22220</v>
      </c>
      <c r="F16" s="10"/>
    </row>
    <row r="17" customFormat="false" ht="15" hidden="false" customHeight="false" outlineLevel="0" collapsed="false">
      <c r="A17" s="8" t="s">
        <v>129</v>
      </c>
      <c r="B17" s="24" t="n">
        <f aca="false">Pretpostavke!$D$42</f>
        <v>17</v>
      </c>
      <c r="C17" s="21" t="n">
        <f aca="false">$B$11*Pretpostavke!$B$33+$C$11*Pretpostavke!$B$34+$D$11*Pretpostavke!$B$35</f>
        <v>2020</v>
      </c>
      <c r="D17" s="23" t="n">
        <f aca="false">B17*C17</f>
        <v>34340</v>
      </c>
      <c r="F17" s="10" t="s">
        <v>130</v>
      </c>
    </row>
    <row r="19" customFormat="false" ht="15" hidden="false" customHeight="false" outlineLevel="0" collapsed="false">
      <c r="A19" s="14" t="s">
        <v>53</v>
      </c>
    </row>
    <row r="20" customFormat="false" ht="15" hidden="false" customHeight="true" outlineLevel="0" collapsed="false">
      <c r="A20" s="25" t="s">
        <v>131</v>
      </c>
      <c r="B20" s="25"/>
      <c r="C20" s="25"/>
      <c r="D20" s="25"/>
      <c r="E20" s="25"/>
      <c r="F20" s="25"/>
    </row>
    <row r="21" customFormat="false" ht="15" hidden="false" customHeight="false" outlineLevel="0" collapsed="false">
      <c r="A21" s="25"/>
      <c r="B21" s="25"/>
      <c r="C21" s="25"/>
      <c r="D21" s="25"/>
      <c r="E21" s="25"/>
      <c r="F21" s="25"/>
    </row>
  </sheetData>
  <mergeCells count="1">
    <mergeCell ref="A20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6"/>
    <col collapsed="false" customWidth="true" hidden="false" outlineLevel="0" max="6" min="6" style="0" width="42"/>
  </cols>
  <sheetData>
    <row r="1" customFormat="false" ht="17.35" hidden="false" customHeight="false" outlineLevel="0" collapsed="false">
      <c r="A1" s="1" t="s">
        <v>132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5" t="s">
        <v>134</v>
      </c>
      <c r="B4" s="6"/>
      <c r="C4" s="6"/>
      <c r="D4" s="6"/>
      <c r="E4" s="6"/>
      <c r="F4" s="6"/>
      <c r="G4" s="6"/>
    </row>
    <row r="5" customFormat="false" ht="15" hidden="false" customHeight="false" outlineLevel="0" collapsed="false">
      <c r="A5" s="8" t="s">
        <v>135</v>
      </c>
      <c r="B5" s="26" t="n">
        <f aca="false">Pretpostavke!$B$46*Pretpostavke!$B$47</f>
        <v>3000</v>
      </c>
    </row>
    <row r="7" customFormat="false" ht="15" hidden="false" customHeight="false" outlineLevel="0" collapsed="false">
      <c r="A7" s="5" t="s">
        <v>136</v>
      </c>
      <c r="B7" s="6"/>
      <c r="C7" s="6"/>
      <c r="D7" s="6"/>
      <c r="E7" s="6"/>
      <c r="F7" s="6"/>
      <c r="G7" s="6"/>
    </row>
    <row r="8" customFormat="false" ht="25.5" hidden="false" customHeight="true" outlineLevel="0" collapsed="false">
      <c r="A8" s="7" t="s">
        <v>23</v>
      </c>
      <c r="B8" s="7" t="s">
        <v>137</v>
      </c>
      <c r="C8" s="7" t="s">
        <v>138</v>
      </c>
      <c r="D8" s="7" t="s">
        <v>139</v>
      </c>
      <c r="E8" s="7"/>
      <c r="F8" s="7" t="s">
        <v>53</v>
      </c>
    </row>
    <row r="9" customFormat="false" ht="15" hidden="false" customHeight="false" outlineLevel="0" collapsed="false">
      <c r="A9" s="8" t="s">
        <v>140</v>
      </c>
      <c r="B9" s="26" t="n">
        <f aca="false">8*Pretpostavke!$B$49*(Pretpostavke!$B$47-Pretpostavke!$B$51)</f>
        <v>96</v>
      </c>
      <c r="C9" s="26" t="n">
        <f aca="false">12*Pretpostavke!$B$49*(Pretpostavke!$B$47-Pretpostavke!$B$51)</f>
        <v>144</v>
      </c>
      <c r="D9" s="26" t="n">
        <f aca="false">18*Pretpostavke!$B$49*(Pretpostavke!$B$47-Pretpostavke!$B$51)</f>
        <v>216</v>
      </c>
      <c r="F9" s="10" t="s">
        <v>141</v>
      </c>
    </row>
    <row r="10" customFormat="false" ht="15" hidden="false" customHeight="false" outlineLevel="0" collapsed="false">
      <c r="A10" s="8" t="s">
        <v>142</v>
      </c>
      <c r="B10" s="26" t="n">
        <f aca="false">8*Pretpostavke!$B$50*Pretpostavke!$B$51</f>
        <v>312</v>
      </c>
      <c r="C10" s="26" t="n">
        <f aca="false">12*Pretpostavke!$B$50*Pretpostavke!$B$51</f>
        <v>468</v>
      </c>
      <c r="D10" s="26" t="n">
        <f aca="false">18*Pretpostavke!$B$50*Pretpostavke!$B$51</f>
        <v>702</v>
      </c>
      <c r="F10" s="10" t="s">
        <v>143</v>
      </c>
    </row>
    <row r="11" customFormat="false" ht="15" hidden="false" customHeight="false" outlineLevel="0" collapsed="false">
      <c r="A11" s="8" t="s">
        <v>144</v>
      </c>
      <c r="B11" s="26" t="n">
        <f aca="false">(8-3)*Pretpostavke!$B$48</f>
        <v>60</v>
      </c>
      <c r="C11" s="26" t="n">
        <f aca="false">(12-3)*Pretpostavke!$B$48</f>
        <v>108</v>
      </c>
      <c r="D11" s="26" t="n">
        <f aca="false">(18-3)*Pretpostavke!$B$48</f>
        <v>180</v>
      </c>
      <c r="F11" s="10" t="s">
        <v>145</v>
      </c>
    </row>
    <row r="12" customFormat="false" ht="15" hidden="false" customHeight="false" outlineLevel="0" collapsed="false">
      <c r="A12" s="8" t="s">
        <v>146</v>
      </c>
      <c r="B12" s="26" t="n">
        <f aca="false">(8-3)*Pretpostavke!$B$52</f>
        <v>200</v>
      </c>
      <c r="C12" s="26" t="n">
        <f aca="false">(12-3)*Pretpostavke!$B$52</f>
        <v>360</v>
      </c>
      <c r="D12" s="26" t="n">
        <f aca="false">(18-3)*Pretpostavke!$B$52</f>
        <v>600</v>
      </c>
      <c r="F12" s="10" t="s">
        <v>147</v>
      </c>
    </row>
    <row r="13" customFormat="false" ht="15" hidden="false" customHeight="false" outlineLevel="0" collapsed="false">
      <c r="A13" s="22" t="s">
        <v>148</v>
      </c>
      <c r="B13" s="27" t="n">
        <f aca="false">SUM(B9:B12)</f>
        <v>668</v>
      </c>
      <c r="C13" s="27" t="n">
        <f aca="false">SUM(C9:C12)</f>
        <v>1080</v>
      </c>
      <c r="D13" s="27" t="n">
        <f aca="false">SUM(D9:D12)</f>
        <v>1698</v>
      </c>
    </row>
    <row r="14" customFormat="false" ht="15" hidden="false" customHeight="false" outlineLevel="0" collapsed="false">
      <c r="A14" s="22" t="s">
        <v>149</v>
      </c>
      <c r="B14" s="27" t="n">
        <f aca="false">$B$5-B13</f>
        <v>2332</v>
      </c>
      <c r="C14" s="27" t="n">
        <f aca="false">$B$5-C13</f>
        <v>1920</v>
      </c>
      <c r="D14" s="27" t="n">
        <f aca="false">$B$5-D13</f>
        <v>1302</v>
      </c>
    </row>
    <row r="15" customFormat="false" ht="15" hidden="false" customHeight="false" outlineLevel="0" collapsed="false">
      <c r="A15" s="8" t="s">
        <v>150</v>
      </c>
      <c r="B15" s="28" t="n">
        <f aca="false">Pretpostavke!$B$53</f>
        <v>900</v>
      </c>
      <c r="C15" s="28" t="n">
        <f aca="false">Pretpostavke!$B$53</f>
        <v>900</v>
      </c>
      <c r="D15" s="28" t="n">
        <f aca="false">Pretpostavke!$B$53</f>
        <v>900</v>
      </c>
    </row>
    <row r="16" customFormat="false" ht="15" hidden="false" customHeight="false" outlineLevel="0" collapsed="false">
      <c r="A16" s="22" t="s">
        <v>151</v>
      </c>
      <c r="B16" s="29" t="str">
        <f aca="false">IF(B14&gt;=B15,"u granicama","NEDOSTAJE VREMENA")</f>
        <v>u granicama</v>
      </c>
      <c r="C16" s="29" t="str">
        <f aca="false">IF(C14&gt;=C15,"u granicama","NEDOSTAJE VREMENA")</f>
        <v>u granicama</v>
      </c>
      <c r="D16" s="29" t="str">
        <f aca="false">IF(D14&gt;=D15,"u granicama","NEDOSTAJE VREMENA")</f>
        <v>u granicama</v>
      </c>
    </row>
    <row r="18" customFormat="false" ht="15" hidden="false" customHeight="false" outlineLevel="0" collapsed="false">
      <c r="A18" s="5" t="s">
        <v>152</v>
      </c>
      <c r="B18" s="6"/>
      <c r="C18" s="6"/>
      <c r="D18" s="6"/>
      <c r="E18" s="6"/>
      <c r="F18" s="6"/>
      <c r="G18" s="6"/>
    </row>
    <row r="19" customFormat="false" ht="15" hidden="false" customHeight="true" outlineLevel="0" collapsed="false">
      <c r="A19" s="30" t="s">
        <v>153</v>
      </c>
      <c r="B19" s="30"/>
      <c r="C19" s="30"/>
      <c r="D19" s="30"/>
      <c r="E19" s="30"/>
      <c r="F19" s="30"/>
    </row>
    <row r="20" customFormat="false" ht="15" hidden="false" customHeight="true" outlineLevel="0" collapsed="false">
      <c r="A20" s="30" t="s">
        <v>154</v>
      </c>
      <c r="B20" s="30"/>
      <c r="C20" s="30"/>
      <c r="D20" s="30"/>
      <c r="E20" s="30"/>
      <c r="F20" s="30"/>
    </row>
    <row r="21" customFormat="false" ht="15" hidden="false" customHeight="true" outlineLevel="0" collapsed="false">
      <c r="A21" s="30" t="s">
        <v>155</v>
      </c>
      <c r="B21" s="30"/>
      <c r="C21" s="30"/>
      <c r="D21" s="30"/>
      <c r="E21" s="30"/>
      <c r="F21" s="30"/>
    </row>
  </sheetData>
  <mergeCells count="3">
    <mergeCell ref="A19:F19"/>
    <mergeCell ref="A20:F20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4" min="2" style="0" width="11"/>
  </cols>
  <sheetData>
    <row r="1" customFormat="false" ht="17.35" hidden="false" customHeight="false" outlineLevel="0" collapsed="false">
      <c r="A1" s="1" t="s">
        <v>156</v>
      </c>
    </row>
    <row r="2" customFormat="false" ht="15" hidden="false" customHeight="false" outlineLevel="0" collapsed="false">
      <c r="A2" s="2" t="s">
        <v>157</v>
      </c>
    </row>
    <row r="4" customFormat="false" ht="25.5" hidden="false" customHeight="true" outlineLevel="0" collapsed="false">
      <c r="A4" s="7" t="s">
        <v>23</v>
      </c>
      <c r="B4" s="7" t="s">
        <v>158</v>
      </c>
      <c r="C4" s="7" t="s">
        <v>159</v>
      </c>
      <c r="D4" s="7" t="s">
        <v>160</v>
      </c>
      <c r="E4" s="7" t="s">
        <v>161</v>
      </c>
      <c r="F4" s="7" t="s">
        <v>162</v>
      </c>
      <c r="G4" s="7" t="s">
        <v>163</v>
      </c>
      <c r="H4" s="7" t="s">
        <v>164</v>
      </c>
      <c r="I4" s="7" t="s">
        <v>165</v>
      </c>
      <c r="J4" s="7" t="s">
        <v>166</v>
      </c>
      <c r="K4" s="7" t="s">
        <v>167</v>
      </c>
      <c r="L4" s="7" t="s">
        <v>168</v>
      </c>
      <c r="M4" s="7" t="s">
        <v>169</v>
      </c>
      <c r="N4" s="7" t="s">
        <v>66</v>
      </c>
    </row>
    <row r="5" customFormat="false" ht="15" hidden="false" customHeight="false" outlineLevel="0" collapsed="false">
      <c r="A5" s="8" t="s">
        <v>170</v>
      </c>
      <c r="B5" s="12" t="n">
        <v>0</v>
      </c>
      <c r="C5" s="12" t="n">
        <v>0.05</v>
      </c>
      <c r="D5" s="12" t="n">
        <v>0.25</v>
      </c>
      <c r="E5" s="12" t="n">
        <v>0.35</v>
      </c>
      <c r="F5" s="12" t="n">
        <v>0.25</v>
      </c>
      <c r="G5" s="12" t="n">
        <v>0.05</v>
      </c>
      <c r="H5" s="12" t="n">
        <v>0</v>
      </c>
      <c r="I5" s="12" t="n">
        <v>0</v>
      </c>
      <c r="J5" s="12" t="n">
        <v>0</v>
      </c>
      <c r="K5" s="12" t="n">
        <v>0</v>
      </c>
      <c r="L5" s="12" t="n">
        <v>0.05</v>
      </c>
      <c r="M5" s="12" t="n">
        <v>0</v>
      </c>
      <c r="N5" s="31" t="n">
        <f aca="false">SUM(B5:M5)</f>
        <v>1</v>
      </c>
    </row>
    <row r="6" customFormat="false" ht="15" hidden="false" customHeight="false" outlineLevel="0" collapsed="false">
      <c r="A6" s="8" t="s">
        <v>108</v>
      </c>
      <c r="B6" s="21" t="n">
        <f aca="false">B5*Prihod!$D$17</f>
        <v>0</v>
      </c>
      <c r="C6" s="21" t="n">
        <f aca="false">C5*Prihod!$D$17</f>
        <v>1717</v>
      </c>
      <c r="D6" s="21" t="n">
        <f aca="false">D5*Prihod!$D$17</f>
        <v>8585</v>
      </c>
      <c r="E6" s="21" t="n">
        <f aca="false">E5*Prihod!$D$17</f>
        <v>12019</v>
      </c>
      <c r="F6" s="21" t="n">
        <f aca="false">F5*Prihod!$D$17</f>
        <v>8585</v>
      </c>
      <c r="G6" s="21" t="n">
        <f aca="false">G5*Prihod!$D$17</f>
        <v>1717</v>
      </c>
      <c r="H6" s="21" t="n">
        <f aca="false">H5*Prihod!$D$17</f>
        <v>0</v>
      </c>
      <c r="I6" s="21" t="n">
        <f aca="false">I5*Prihod!$D$17</f>
        <v>0</v>
      </c>
      <c r="J6" s="21" t="n">
        <f aca="false">J5*Prihod!$D$17</f>
        <v>0</v>
      </c>
      <c r="K6" s="21" t="n">
        <f aca="false">K5*Prihod!$D$17</f>
        <v>0</v>
      </c>
      <c r="L6" s="21" t="n">
        <f aca="false">L5*Prihod!$D$17</f>
        <v>1717</v>
      </c>
      <c r="M6" s="21" t="n">
        <f aca="false">M5*Prihod!$D$17</f>
        <v>0</v>
      </c>
      <c r="N6" s="23" t="n">
        <f aca="false">SUM(B6:M6)</f>
        <v>34340</v>
      </c>
    </row>
    <row r="7" customFormat="false" ht="15" hidden="false" customHeight="false" outlineLevel="0" collapsed="false">
      <c r="A7" s="8" t="s">
        <v>171</v>
      </c>
      <c r="B7" s="21" t="n">
        <f aca="false">-Pretpostavke!$B$65/12</f>
        <v>-0</v>
      </c>
      <c r="C7" s="21" t="n">
        <f aca="false">-Pretpostavke!$B$65/12</f>
        <v>-0</v>
      </c>
      <c r="D7" s="21" t="n">
        <f aca="false">-Pretpostavke!$B$65/12</f>
        <v>-0</v>
      </c>
      <c r="E7" s="21" t="n">
        <f aca="false">-Pretpostavke!$B$65/12</f>
        <v>-0</v>
      </c>
      <c r="F7" s="21" t="n">
        <f aca="false">-Pretpostavke!$B$65/12</f>
        <v>-0</v>
      </c>
      <c r="G7" s="21" t="n">
        <f aca="false">-Pretpostavke!$B$65/12</f>
        <v>-0</v>
      </c>
      <c r="H7" s="21" t="n">
        <f aca="false">-Pretpostavke!$B$65/12</f>
        <v>-0</v>
      </c>
      <c r="I7" s="21" t="n">
        <f aca="false">-Pretpostavke!$B$65/12</f>
        <v>-0</v>
      </c>
      <c r="J7" s="21" t="n">
        <f aca="false">-Pretpostavke!$B$65/12</f>
        <v>-0</v>
      </c>
      <c r="K7" s="21" t="n">
        <f aca="false">-Pretpostavke!$B$65/12</f>
        <v>-0</v>
      </c>
      <c r="L7" s="21" t="n">
        <f aca="false">-Pretpostavke!$B$65/12</f>
        <v>-0</v>
      </c>
      <c r="M7" s="21" t="n">
        <f aca="false">-Pretpostavke!$B$65/12</f>
        <v>-0</v>
      </c>
      <c r="N7" s="23" t="n">
        <f aca="false">SUM(B7:M7)</f>
        <v>0</v>
      </c>
    </row>
    <row r="8" customFormat="false" ht="15" hidden="false" customHeight="false" outlineLevel="0" collapsed="false">
      <c r="A8" s="22" t="s">
        <v>172</v>
      </c>
      <c r="B8" s="23" t="n">
        <f aca="false">B6+B7</f>
        <v>0</v>
      </c>
      <c r="C8" s="23" t="n">
        <f aca="false">C6+C7</f>
        <v>1717</v>
      </c>
      <c r="D8" s="23" t="n">
        <f aca="false">D6+D7</f>
        <v>8585</v>
      </c>
      <c r="E8" s="23" t="n">
        <f aca="false">E6+E7</f>
        <v>12019</v>
      </c>
      <c r="F8" s="23" t="n">
        <f aca="false">F6+F7</f>
        <v>8585</v>
      </c>
      <c r="G8" s="23" t="n">
        <f aca="false">G6+G7</f>
        <v>1717</v>
      </c>
      <c r="H8" s="23" t="n">
        <f aca="false">H6+H7</f>
        <v>0</v>
      </c>
      <c r="I8" s="23" t="n">
        <f aca="false">I6+I7</f>
        <v>0</v>
      </c>
      <c r="J8" s="23" t="n">
        <f aca="false">J6+J7</f>
        <v>0</v>
      </c>
      <c r="K8" s="23" t="n">
        <f aca="false">K6+K7</f>
        <v>0</v>
      </c>
      <c r="L8" s="23" t="n">
        <f aca="false">L6+L7</f>
        <v>1717</v>
      </c>
      <c r="M8" s="23" t="n">
        <f aca="false">M6+M7</f>
        <v>0</v>
      </c>
      <c r="N8" s="23" t="n">
        <f aca="false">N6+N7</f>
        <v>34340</v>
      </c>
    </row>
    <row r="9" customFormat="false" ht="15" hidden="false" customHeight="false" outlineLevel="0" collapsed="false">
      <c r="A9" s="22" t="s">
        <v>173</v>
      </c>
      <c r="B9" s="23" t="n">
        <f aca="false">B8</f>
        <v>0</v>
      </c>
      <c r="C9" s="23" t="n">
        <f aca="false">B9+C8</f>
        <v>1717</v>
      </c>
      <c r="D9" s="23" t="n">
        <f aca="false">C9+D8</f>
        <v>10302</v>
      </c>
      <c r="E9" s="23" t="n">
        <f aca="false">D9+E8</f>
        <v>22321</v>
      </c>
      <c r="F9" s="23" t="n">
        <f aca="false">E9+F8</f>
        <v>30906</v>
      </c>
      <c r="G9" s="23" t="n">
        <f aca="false">F9+G8</f>
        <v>32623</v>
      </c>
      <c r="H9" s="23" t="n">
        <f aca="false">G9+H8</f>
        <v>32623</v>
      </c>
      <c r="I9" s="23" t="n">
        <f aca="false">H9+I8</f>
        <v>32623</v>
      </c>
      <c r="J9" s="23" t="n">
        <f aca="false">I9+J8</f>
        <v>32623</v>
      </c>
      <c r="K9" s="23" t="n">
        <f aca="false">J9+K8</f>
        <v>32623</v>
      </c>
      <c r="L9" s="23" t="n">
        <f aca="false">K9+L8</f>
        <v>34340</v>
      </c>
      <c r="M9" s="23" t="n">
        <f aca="false">L9+M8</f>
        <v>34340</v>
      </c>
    </row>
    <row r="11" customFormat="false" ht="15" hidden="false" customHeight="true" outlineLevel="0" collapsed="false">
      <c r="A11" s="25" t="s">
        <v>174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</row>
    <row r="12" customFormat="false" ht="15" hidden="false" customHeight="false" outlineLevel="0" collapsed="false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</row>
  </sheetData>
  <mergeCells count="1">
    <mergeCell ref="A11: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6"/>
    <col collapsed="false" customWidth="true" hidden="false" outlineLevel="0" max="5" min="5" style="0" width="44"/>
  </cols>
  <sheetData>
    <row r="1" customFormat="false" ht="17.3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2" t="s">
        <v>176</v>
      </c>
    </row>
    <row r="4" customFormat="false" ht="25.5" hidden="false" customHeight="true" outlineLevel="0" collapsed="false">
      <c r="A4" s="7" t="s">
        <v>177</v>
      </c>
      <c r="B4" s="7" t="s">
        <v>127</v>
      </c>
      <c r="C4" s="7" t="s">
        <v>128</v>
      </c>
      <c r="D4" s="7" t="s">
        <v>129</v>
      </c>
      <c r="E4" s="7" t="s">
        <v>53</v>
      </c>
    </row>
    <row r="5" customFormat="false" ht="15" hidden="false" customHeight="false" outlineLevel="0" collapsed="false">
      <c r="A5" s="8" t="s">
        <v>70</v>
      </c>
      <c r="B5" s="32" t="n">
        <f aca="false">Pretpostavke!$B$40</f>
        <v>5</v>
      </c>
      <c r="C5" s="32" t="n">
        <f aca="false">Pretpostavke!$B$41</f>
        <v>8</v>
      </c>
      <c r="D5" s="32" t="n">
        <f aca="false">Pretpostavke!$B$42</f>
        <v>14</v>
      </c>
      <c r="E5" s="10"/>
    </row>
    <row r="6" customFormat="false" ht="15" hidden="false" customHeight="false" outlineLevel="0" collapsed="false">
      <c r="A6" s="8" t="s">
        <v>124</v>
      </c>
      <c r="B6" s="32" t="n">
        <f aca="false">Pretpostavke!$D$40</f>
        <v>8</v>
      </c>
      <c r="C6" s="32" t="n">
        <f aca="false">Pretpostavke!$D$41</f>
        <v>11</v>
      </c>
      <c r="D6" s="32" t="n">
        <f aca="false">Pretpostavke!$D$42</f>
        <v>17</v>
      </c>
      <c r="E6" s="10"/>
    </row>
    <row r="7" customFormat="false" ht="15" hidden="false" customHeight="false" outlineLevel="0" collapsed="false">
      <c r="A7" s="22" t="s">
        <v>126</v>
      </c>
      <c r="B7" s="33" t="n">
        <f aca="false">Prihod!$D$15</f>
        <v>16160</v>
      </c>
      <c r="C7" s="33" t="n">
        <f aca="false">Prihod!$D$16</f>
        <v>22220</v>
      </c>
      <c r="D7" s="33" t="n">
        <f aca="false">Prihod!$D$17</f>
        <v>34340</v>
      </c>
      <c r="E7" s="10"/>
    </row>
    <row r="8" customFormat="false" ht="15" hidden="false" customHeight="false" outlineLevel="0" collapsed="false">
      <c r="A8" s="8" t="s">
        <v>178</v>
      </c>
      <c r="B8" s="33" t="n">
        <f aca="false">IFERROR(B7/B6,0)</f>
        <v>2020</v>
      </c>
      <c r="C8" s="33" t="n">
        <f aca="false">IFERROR(C7/C6,0)</f>
        <v>2020</v>
      </c>
      <c r="D8" s="33" t="n">
        <f aca="false">IFERROR(D7/D6,0)</f>
        <v>2020</v>
      </c>
      <c r="E8" s="10"/>
    </row>
    <row r="9" customFormat="false" ht="15" hidden="false" customHeight="false" outlineLevel="0" collapsed="false">
      <c r="A9" s="8" t="s">
        <v>171</v>
      </c>
      <c r="B9" s="33" t="n">
        <f aca="false">Pretpostavke!$B$65</f>
        <v>0</v>
      </c>
      <c r="C9" s="33" t="n">
        <f aca="false">Pretpostavke!$B$65</f>
        <v>0</v>
      </c>
      <c r="D9" s="33" t="n">
        <f aca="false">Pretpostavke!$B$65</f>
        <v>0</v>
      </c>
      <c r="E9" s="10" t="s">
        <v>179</v>
      </c>
    </row>
    <row r="10" customFormat="false" ht="15" hidden="false" customHeight="false" outlineLevel="0" collapsed="false">
      <c r="A10" s="22" t="s">
        <v>180</v>
      </c>
      <c r="B10" s="33" t="n">
        <f aca="false">B7-B9</f>
        <v>16160</v>
      </c>
      <c r="C10" s="33" t="n">
        <f aca="false">C7-C9</f>
        <v>22220</v>
      </c>
      <c r="D10" s="33" t="n">
        <f aca="false">D7-D9</f>
        <v>34340</v>
      </c>
      <c r="E10" s="10" t="s">
        <v>181</v>
      </c>
    </row>
    <row r="11" customFormat="false" ht="15" hidden="false" customHeight="false" outlineLevel="0" collapsed="false">
      <c r="A11" s="8" t="s">
        <v>182</v>
      </c>
      <c r="B11" s="34" t="n">
        <f aca="false">Kapacitet!$B$13</f>
        <v>668</v>
      </c>
      <c r="C11" s="34" t="n">
        <f aca="false">Kapacitet!$C$13</f>
        <v>1080</v>
      </c>
      <c r="D11" s="34" t="n">
        <f aca="false">Kapacitet!$D$13</f>
        <v>1698</v>
      </c>
      <c r="E11" s="10" t="s">
        <v>183</v>
      </c>
    </row>
    <row r="12" customFormat="false" ht="15" hidden="false" customHeight="false" outlineLevel="0" collapsed="false">
      <c r="A12" s="8" t="s">
        <v>184</v>
      </c>
      <c r="B12" s="35" t="str">
        <f aca="false">IF(B6&gt;=15,"DA","ne još")</f>
        <v>ne još</v>
      </c>
      <c r="C12" s="35" t="str">
        <f aca="false">IF(C6&gt;=15,"DA","ne još")</f>
        <v>ne još</v>
      </c>
      <c r="D12" s="35" t="str">
        <f aca="false">IF(D6&gt;=15,"DA","ne još")</f>
        <v>DA</v>
      </c>
      <c r="E12" s="10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2026-07-26T18:21:21Z</dcterms:created>
  <dc:creator>openpyxl</dc:creator>
  <dc:description/>
  <dc:language>en-US</dc:language>
  <cp:lastModifiedBy/>
  <dcterms:modified xsi:type="dcterms:W3CDTF">2026-07-26T18:21:21Z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