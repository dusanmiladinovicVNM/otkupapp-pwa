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putstvo" sheetId="1" state="visible" r:id="rId1"/>
    <sheet name="Pretpostavke" sheetId="2" state="visible" r:id="rId2"/>
    <sheet name="Prihod" sheetId="3" state="visible" r:id="rId3"/>
    <sheet name="Kapacitet" sheetId="4" state="visible" r:id="rId4"/>
    <sheet name="CashFlow" sheetId="5" state="visible" r:id="rId5"/>
    <sheet name="Scenariji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&quot; €&quot;;\(#,##0&quot; €)&quot;;\-"/>
    <numFmt numFmtId="165" formatCode="#,##0;\(#,##0\);\-"/>
    <numFmt numFmtId="166" formatCode="#,##0&quot; h&quot;"/>
    <numFmt numFmtId="167" formatCode="0.0&quot; h&quot;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D14"/>
      <sz val="14"/>
    </font>
    <font>
      <name val="Arial"/>
      <charset val="1"/>
      <family val="0"/>
      <color rgb="FF7A856E"/>
      <sz val="8"/>
    </font>
    <font>
      <name val="Arial"/>
      <charset val="1"/>
      <family val="0"/>
      <sz val="9"/>
    </font>
    <font>
      <name val="Arial"/>
      <charset val="1"/>
      <family val="0"/>
      <b val="1"/>
      <color rgb="FF1E2D14"/>
      <sz val="9"/>
    </font>
    <font>
      <name val="Arial"/>
      <charset val="1"/>
      <family val="0"/>
      <b val="1"/>
      <color rgb="FF1E2D1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8000"/>
      <sz val="9"/>
    </font>
  </fonts>
  <fills count="4">
    <fill>
      <patternFill/>
    </fill>
    <fill>
      <patternFill patternType="gray125"/>
    </fill>
    <fill>
      <patternFill patternType="solid">
        <fgColor rgb="FF1E2D14"/>
        <bgColor rgb="FF333333"/>
      </patternFill>
    </fill>
    <fill>
      <patternFill patternType="solid">
        <fgColor rgb="FFFFFFCC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8A84B"/>
      </bottom>
      <diagonal/>
    </border>
    <border>
      <left style="thin">
        <color rgb="FFD8D2C2"/>
      </left>
      <right style="thin">
        <color rgb="FFD8D2C2"/>
      </right>
      <top style="thin">
        <color rgb="FFD8D2C2"/>
      </top>
      <bottom style="thin">
        <color rgb="FFD8D2C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general" vertical="bottom"/>
    </xf>
    <xf numFmtId="164" fontId="1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general" vertical="bottom"/>
    </xf>
    <xf numFmtId="9" fontId="1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6" fontId="10" fillId="0" borderId="2" applyAlignment="1" pivotButton="0" quotePrefix="0" xfId="0">
      <alignment horizontal="general" vertical="bottom"/>
    </xf>
    <xf numFmtId="167" fontId="10" fillId="0" borderId="2" applyAlignment="1" pivotButton="0" quotePrefix="0" xfId="0">
      <alignment horizontal="general" vertical="bottom"/>
    </xf>
    <xf numFmtId="164" fontId="10" fillId="3" borderId="2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5" fontId="11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166" fontId="6" fillId="0" borderId="2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66" fontId="11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top" wrapText="1"/>
    </xf>
    <xf numFmtId="9" fontId="7" fillId="0" borderId="2" applyAlignment="1" pivotButton="0" quotePrefix="0" xfId="0">
      <alignment horizontal="general" vertical="bottom"/>
    </xf>
    <xf numFmtId="165" fontId="6" fillId="0" borderId="2" applyAlignment="1" pivotButton="0" quotePrefix="0" xfId="0">
      <alignment horizontal="center" vertical="bottom"/>
    </xf>
    <xf numFmtId="164" fontId="6" fillId="0" borderId="2" applyAlignment="1" pivotButton="0" quotePrefix="0" xfId="0">
      <alignment horizontal="center" vertical="bottom"/>
    </xf>
    <xf numFmtId="166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9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general" vertical="bottom"/>
    </xf>
    <xf numFmtId="164" fontId="10" fillId="0" borderId="2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general" vertical="bottom"/>
    </xf>
    <xf numFmtId="9" fontId="1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9" fontId="7" fillId="0" borderId="0" applyAlignment="1" pivotButton="0" quotePrefix="0" xfId="0">
      <alignment horizontal="general" vertical="bottom"/>
    </xf>
    <xf numFmtId="165" fontId="6" fillId="0" borderId="2" applyAlignment="1" pivotButton="0" quotePrefix="0" xfId="0">
      <alignment horizontal="general" vertical="bottom"/>
    </xf>
    <xf numFmtId="166" fontId="10" fillId="0" borderId="2" applyAlignment="1" pivotButton="0" quotePrefix="0" xfId="0">
      <alignment horizontal="general" vertical="bottom"/>
    </xf>
    <xf numFmtId="167" fontId="10" fillId="0" borderId="2" applyAlignment="1" pivotButton="0" quotePrefix="0" xfId="0">
      <alignment horizontal="general" vertical="bottom"/>
    </xf>
    <xf numFmtId="164" fontId="10" fillId="3" borderId="2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5" fontId="11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166" fontId="6" fillId="0" borderId="2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166" fontId="11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9" fontId="7" fillId="0" borderId="2" applyAlignment="1" pivotButton="0" quotePrefix="0" xfId="0">
      <alignment horizontal="general" vertical="bottom"/>
    </xf>
    <xf numFmtId="165" fontId="6" fillId="0" borderId="2" applyAlignment="1" pivotButton="0" quotePrefix="0" xfId="0">
      <alignment horizontal="center" vertical="bottom"/>
    </xf>
    <xf numFmtId="164" fontId="6" fillId="0" borderId="2" applyAlignment="1" pivotButton="0" quotePrefix="0" xfId="0">
      <alignment horizontal="center" vertical="bottom"/>
    </xf>
    <xf numFmtId="166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2"/>
      <rgbColor rgb="FF7A856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8A84B"/>
      <rgbColor rgb="FF003366"/>
      <rgbColor rgb="FF339966"/>
      <rgbColor rgb="FF003300"/>
      <rgbColor rgb="FF1E2D14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5" customWidth="1" style="36" min="1" max="1"/>
  </cols>
  <sheetData>
    <row r="1" ht="17.35" customHeight="1" s="37">
      <c r="A1" s="38" t="inlineStr">
        <is>
          <t>AgriX — Finansijski model</t>
        </is>
      </c>
    </row>
    <row r="2" ht="15" customHeight="1" s="37">
      <c r="A2" s="39" t="inlineStr">
        <is>
          <t>Verzija 1 · 26.07.2026. · sve cene u EUR, na godišnjem nivou, bez PDV-a</t>
        </is>
      </c>
    </row>
    <row r="3" ht="15" customHeight="1" s="37">
      <c r="A3" s="40" t="n"/>
    </row>
    <row r="4" ht="15" customHeight="1" s="37">
      <c r="A4" s="41" t="inlineStr">
        <is>
          <t>BOJE</t>
        </is>
      </c>
    </row>
    <row r="5" ht="15" customHeight="1" s="37">
      <c r="A5" s="40" t="inlineStr">
        <is>
          <t xml:space="preserve">   Plavo — ulazna vrednost koju menjaš. Sve plavo je pretpostavka ili odluka.</t>
        </is>
      </c>
    </row>
    <row r="6" ht="15" customHeight="1" s="37">
      <c r="A6" s="40" t="inlineStr">
        <is>
          <t xml:space="preserve">   Crno — formula. Ne menjaj.</t>
        </is>
      </c>
    </row>
    <row r="7" ht="15" customHeight="1" s="37">
      <c r="A7" s="40" t="inlineStr">
        <is>
          <t xml:space="preserve">   Zeleno — veza ka drugom listu.</t>
        </is>
      </c>
    </row>
    <row r="8" ht="15" customHeight="1" s="37">
      <c r="A8" s="40" t="inlineStr">
        <is>
          <t xml:space="preserve">   Žuta pozadina — mora se popuniti pre nego što model ima smisla.</t>
        </is>
      </c>
    </row>
    <row r="9" ht="15" customHeight="1" s="37">
      <c r="A9" s="40" t="n"/>
    </row>
    <row r="10" ht="15" customHeight="1" s="37">
      <c r="A10" s="41" t="inlineStr">
        <is>
          <t>LISTOVI</t>
        </is>
      </c>
    </row>
    <row r="11" ht="15" customHeight="1" s="37">
      <c r="A11" s="40" t="inlineStr">
        <is>
          <t xml:space="preserve">   Pretpostavke — jedino mesto gde se menjaju ulazi. Cene su preuzete iz Decision Loga.</t>
        </is>
      </c>
    </row>
    <row r="12" ht="15" customHeight="1" s="37">
      <c r="A12" s="40" t="inlineStr">
        <is>
          <t xml:space="preserve">   Prihod — godišnji prihod po profilu klijenta i po scenariju.</t>
        </is>
      </c>
    </row>
    <row r="13" ht="15" customHeight="1" s="37">
      <c r="A13" s="40" t="inlineStr">
        <is>
          <t xml:space="preserve">   Kapacitet — koliko sati traži baza klijenata i kada osnivač postaje usko grlo.</t>
        </is>
      </c>
    </row>
    <row r="14" ht="15" customHeight="1" s="37">
      <c r="A14" s="40" t="inlineStr">
        <is>
          <t xml:space="preserve">   CashFlow — mesečni tok, sa uplatama koncentrisanim pre sezone.</t>
        </is>
      </c>
    </row>
    <row r="15" ht="15" customHeight="1" s="37">
      <c r="A15" s="40" t="inlineStr">
        <is>
          <t xml:space="preserve">   Scenariji — poređenje A, B i C na jednom mestu.</t>
        </is>
      </c>
    </row>
    <row r="16" ht="15" customHeight="1" s="37">
      <c r="A16" s="40" t="n"/>
    </row>
    <row r="17" ht="15" customHeight="1" s="37">
      <c r="A17" s="41" t="inlineStr">
        <is>
          <t>ŠTA MODEL NE RADI</t>
        </is>
      </c>
    </row>
    <row r="18" ht="15" customHeight="1" s="37">
      <c r="A18" s="40" t="inlineStr">
        <is>
          <t xml:space="preserve">   Ne predviđa. Pokazuje šta se dešava sa prihodom i tvojim vremenom pri datim pretpostavkama.</t>
        </is>
      </c>
    </row>
    <row r="19" ht="15" customHeight="1" s="37">
      <c r="A19" s="40" t="inlineStr">
        <is>
          <t xml:space="preserve">   Troškovi su prazni jer ih ne znam — dok se ne popune, redovi neto rezultata nemaju smisla.</t>
        </is>
      </c>
    </row>
    <row r="20" ht="15" customHeight="1" s="37">
      <c r="A20" s="40" t="n"/>
    </row>
    <row r="21" ht="15" customHeight="1" s="37">
      <c r="A21" s="41" t="inlineStr">
        <is>
          <t>IZVOR CENA</t>
        </is>
      </c>
    </row>
    <row r="22" ht="15" customHeight="1" s="37">
      <c r="A22" s="40" t="inlineStr">
        <is>
          <t xml:space="preserve">   Odluke 339, 341, 349–358. Profil prosečnog klijenta: 10 stanica, oko 100 kooperanata.</t>
        </is>
      </c>
    </row>
    <row r="23" ht="15" customHeight="1" s="37">
      <c r="A23" s="40" t="inlineStr">
        <is>
          <t xml:space="preserve">   Scenariji rasta: odluka 375 (izabran scenario C).</t>
        </is>
      </c>
    </row>
    <row r="24" ht="15" customHeight="1" s="37">
      <c r="A24" s="40" t="inlineStr">
        <is>
          <t xml:space="preserve">   Okidač za zapošljavanje: BC3 i 336 — najkasnije pri 15–20 firmi ili pre sezone 2027.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6" min="1" max="1"/>
    <col width="14" customWidth="1" style="36" min="2" max="6"/>
    <col width="40" customWidth="1" style="36" min="7" max="7"/>
  </cols>
  <sheetData>
    <row r="1" ht="17.35" customHeight="1" s="37">
      <c r="A1" s="38" t="inlineStr">
        <is>
          <t>Pretpostavke</t>
        </is>
      </c>
    </row>
    <row r="2" ht="15" customHeight="1" s="37">
      <c r="A2" s="39" t="inlineStr">
        <is>
          <t>Plava polja su ulazi. Žuta se moraju popuniti.</t>
        </is>
      </c>
    </row>
    <row r="4" ht="15" customHeight="1" s="37">
      <c r="A4" s="42" t="inlineStr">
        <is>
          <t>A. Cenovnik</t>
        </is>
      </c>
      <c r="B4" s="43" t="n"/>
      <c r="C4" s="43" t="n"/>
      <c r="D4" s="43" t="n"/>
      <c r="E4" s="43" t="n"/>
      <c r="F4" s="43" t="n"/>
      <c r="G4" s="43" t="n"/>
    </row>
    <row r="5" ht="25.5" customHeight="1" s="37">
      <c r="A5" s="44" t="inlineStr">
        <is>
          <t>Stavka</t>
        </is>
      </c>
      <c r="B5" s="44" t="inlineStr">
        <is>
          <t>Cena</t>
        </is>
      </c>
      <c r="C5" s="44" t="n"/>
      <c r="D5" s="44" t="n"/>
      <c r="E5" s="44" t="n"/>
      <c r="F5" s="44" t="n"/>
      <c r="G5" s="44" t="inlineStr">
        <is>
          <t>Izvor</t>
        </is>
      </c>
    </row>
    <row r="6" ht="15" customHeight="1" s="37">
      <c r="A6" s="45" t="inlineStr">
        <is>
          <t>Desktop Core</t>
        </is>
      </c>
      <c r="B6" s="46" t="n">
        <v>500</v>
      </c>
      <c r="G6" s="47" t="inlineStr">
        <is>
          <t>odluka 349</t>
        </is>
      </c>
    </row>
    <row r="7" ht="15" customHeight="1" s="37">
      <c r="A7" s="45" t="inlineStr">
        <is>
          <t>Desktop all-in</t>
        </is>
      </c>
      <c r="B7" s="46" t="n">
        <v>1200</v>
      </c>
      <c r="G7" s="47" t="inlineStr">
        <is>
          <t>odluka 349 (revizija 27.07.) — bazna 500 + 700</t>
        </is>
      </c>
    </row>
    <row r="8" ht="15" customHeight="1" s="37">
      <c r="A8" s="45" t="inlineStr">
        <is>
          <t>Mobile</t>
        </is>
      </c>
      <c r="B8" s="46" t="n">
        <v>1500</v>
      </c>
      <c r="G8" s="47" t="inlineStr">
        <is>
          <t>odluka 349</t>
        </is>
      </c>
    </row>
    <row r="9" ht="15" customHeight="1" s="37">
      <c r="A9" s="45" t="inlineStr">
        <is>
          <t>Mobile all-in</t>
        </is>
      </c>
      <c r="B9" s="46" t="n">
        <v>2200</v>
      </c>
      <c r="G9" s="47" t="inlineStr">
        <is>
          <t>odluka 349 (revizija 27.07.) — bazna 1.500 + 700</t>
        </is>
      </c>
    </row>
    <row r="10" ht="15" customHeight="1" s="37">
      <c r="A10" s="45" t="inlineStr">
        <is>
          <t>Stanica preko pet</t>
        </is>
      </c>
      <c r="B10" s="46" t="n">
        <v>50</v>
      </c>
      <c r="G10" s="47" t="inlineStr">
        <is>
          <t>odluka 351</t>
        </is>
      </c>
    </row>
    <row r="11" ht="15" customHeight="1" s="37">
      <c r="A11" s="45" t="inlineStr">
        <is>
          <t>Modul (SEF / Banka / Dispatch)</t>
        </is>
      </c>
      <c r="B11" s="46" t="n">
        <v>200</v>
      </c>
      <c r="G11" s="47" t="inlineStr">
        <is>
          <t>odluka 350</t>
        </is>
      </c>
    </row>
    <row r="12" ht="15" customHeight="1" s="37">
      <c r="A12" s="45" t="inlineStr">
        <is>
          <t>Modul Hladnjača / Proizvodnja</t>
        </is>
      </c>
      <c r="B12" s="46" t="n">
        <v>400</v>
      </c>
      <c r="G12" s="47" t="inlineStr">
        <is>
          <t>odluka 350</t>
        </is>
      </c>
    </row>
    <row r="13" ht="15" customHeight="1" s="37">
      <c r="A13" s="45" t="inlineStr">
        <is>
          <t>GGAP</t>
        </is>
      </c>
      <c r="B13" s="46" t="n">
        <v>1000</v>
      </c>
      <c r="G13" s="47" t="inlineStr">
        <is>
          <t>odluka 352</t>
        </is>
      </c>
    </row>
    <row r="14" ht="15" customHeight="1" s="37">
      <c r="A14" s="45" t="inlineStr">
        <is>
          <t>Gazdinstvo Pro — kanalska cena</t>
        </is>
      </c>
      <c r="B14" s="46" t="n">
        <v>20</v>
      </c>
      <c r="G14" s="47" t="inlineStr">
        <is>
          <t>odluka 339</t>
        </is>
      </c>
    </row>
    <row r="15" ht="15" customHeight="1" s="37">
      <c r="A15" s="45" t="inlineStr">
        <is>
          <t>Gazdinstvo Basic — kanalska cena</t>
        </is>
      </c>
      <c r="B15" s="46" t="n">
        <v>10</v>
      </c>
      <c r="G15" s="47" t="inlineStr">
        <is>
          <t>odluka 339</t>
        </is>
      </c>
    </row>
    <row r="16" ht="15" customHeight="1" s="37">
      <c r="A16" s="45" t="inlineStr">
        <is>
          <t>Savetnik — osnovica</t>
        </is>
      </c>
      <c r="B16" s="46" t="n">
        <v>150</v>
      </c>
      <c r="G16" s="47" t="inlineStr">
        <is>
          <t>odluka 419 — standalone tarifa</t>
        </is>
      </c>
    </row>
    <row r="17" ht="15" customHeight="1" s="37">
      <c r="A17" s="45" t="inlineStr">
        <is>
          <t>Savetnik — po gazdinstvu preko 10</t>
        </is>
      </c>
      <c r="B17" s="46" t="n">
        <v>15</v>
      </c>
      <c r="G17" s="47" t="inlineStr">
        <is>
          <t>odluka 419 — standalone, preko 10</t>
        </is>
      </c>
    </row>
    <row r="18" ht="15" customHeight="1" s="37">
      <c r="A18" s="45" t="inlineStr">
        <is>
          <t>Hardverska podrška — po stanici</t>
        </is>
      </c>
      <c r="B18" s="46" t="n">
        <v>40</v>
      </c>
      <c r="G18" s="47" t="inlineStr">
        <is>
          <t>odluka 357 (predlog)</t>
        </is>
      </c>
    </row>
    <row r="19" ht="15" customHeight="1" s="37">
      <c r="A19" s="45" t="inlineStr">
        <is>
          <t>Satnica — razvoj i migracija</t>
        </is>
      </c>
      <c r="B19" s="46" t="n">
        <v>50</v>
      </c>
      <c r="G19" s="47" t="inlineStr">
        <is>
          <t>odluka 353</t>
        </is>
      </c>
    </row>
    <row r="20" ht="15" customHeight="1" s="37">
      <c r="A20" s="45" t="inlineStr">
        <is>
          <t>Satnica — obuka</t>
        </is>
      </c>
      <c r="B20" s="46" t="n">
        <v>30</v>
      </c>
      <c r="G20" s="47" t="inlineStr">
        <is>
          <t>odluka 354</t>
        </is>
      </c>
    </row>
    <row r="22" ht="15" customHeight="1" s="37">
      <c r="A22" s="42" t="inlineStr">
        <is>
          <t>B. Profil prosečnog klijenta</t>
        </is>
      </c>
      <c r="B22" s="43" t="n"/>
      <c r="C22" s="43" t="n"/>
      <c r="D22" s="43" t="n"/>
      <c r="E22" s="43" t="n"/>
      <c r="F22" s="43" t="n"/>
      <c r="G22" s="43" t="n"/>
    </row>
    <row r="23" ht="25.5" customHeight="1" s="37">
      <c r="A23" s="44" t="inlineStr">
        <is>
          <t>Parametar</t>
        </is>
      </c>
      <c r="B23" s="44" t="inlineStr">
        <is>
          <t>Vrednost</t>
        </is>
      </c>
      <c r="C23" s="44" t="n"/>
      <c r="D23" s="44" t="n"/>
      <c r="E23" s="44" t="n"/>
      <c r="F23" s="44" t="n"/>
      <c r="G23" s="44" t="inlineStr">
        <is>
          <t>Napomena</t>
        </is>
      </c>
    </row>
    <row r="24" ht="15" customHeight="1" s="37">
      <c r="A24" s="45" t="inlineStr">
        <is>
          <t>Prosečan broj otkupnih stanica</t>
        </is>
      </c>
      <c r="B24" s="48" t="n">
        <v>10</v>
      </c>
      <c r="G24" s="47" t="inlineStr">
        <is>
          <t>iz postojeće baze</t>
        </is>
      </c>
    </row>
    <row r="25" ht="15" customHeight="1" s="37">
      <c r="A25" s="45" t="inlineStr">
        <is>
          <t>Uključeno stanica u osnovnoj ceni</t>
        </is>
      </c>
      <c r="B25" s="48" t="n">
        <v>5</v>
      </c>
      <c r="G25" s="47" t="inlineStr">
        <is>
          <t>odluka 298</t>
        </is>
      </c>
    </row>
    <row r="26" ht="15" customHeight="1" s="37">
      <c r="A26" s="45" t="inlineStr">
        <is>
          <t>Prosečan broj kooperanata</t>
        </is>
      </c>
      <c r="B26" s="48" t="n">
        <v>100</v>
      </c>
      <c r="G26" s="47" t="inlineStr">
        <is>
          <t>iz postojeće baze</t>
        </is>
      </c>
    </row>
    <row r="27" ht="15" customHeight="1" s="37">
      <c r="A27" s="45" t="inlineStr">
        <is>
          <t>Konverzija kooperanata na Pro</t>
        </is>
      </c>
      <c r="B27" s="49" t="n">
        <v>0.05</v>
      </c>
      <c r="G27" s="47" t="inlineStr">
        <is>
          <t>pretpostavka</t>
        </is>
      </c>
    </row>
    <row r="28" ht="15" customHeight="1" s="37">
      <c r="A28" s="45" t="inlineStr">
        <is>
          <t>Udeo klijenata koji uzima GGAP</t>
        </is>
      </c>
      <c r="B28" s="49" t="n">
        <v>0.2</v>
      </c>
      <c r="G28" s="47" t="inlineStr">
        <is>
          <t>pretpostavka</t>
        </is>
      </c>
    </row>
    <row r="29" ht="15" customHeight="1" s="37">
      <c r="A29" s="45" t="inlineStr">
        <is>
          <t>Udeo klijenata sa hardverskom podrškom</t>
        </is>
      </c>
      <c r="B29" s="49" t="n">
        <v>0.5</v>
      </c>
      <c r="G29" s="47" t="inlineStr">
        <is>
          <t>pretpostavka</t>
        </is>
      </c>
    </row>
    <row r="31" ht="15" customHeight="1" s="37">
      <c r="A31" s="42" t="inlineStr">
        <is>
          <t>C. Struktura baze klijenata</t>
        </is>
      </c>
      <c r="B31" s="43" t="n"/>
      <c r="C31" s="43" t="n"/>
      <c r="D31" s="43" t="n"/>
      <c r="E31" s="43" t="n"/>
      <c r="F31" s="43" t="n"/>
      <c r="G31" s="43" t="n"/>
    </row>
    <row r="32" ht="25.5" customHeight="1" s="37">
      <c r="A32" s="44" t="inlineStr">
        <is>
          <t>Profil</t>
        </is>
      </c>
      <c r="B32" s="44" t="inlineStr">
        <is>
          <t>Udeo</t>
        </is>
      </c>
      <c r="C32" s="44" t="n"/>
      <c r="D32" s="44" t="n"/>
      <c r="E32" s="44" t="n"/>
      <c r="F32" s="44" t="n"/>
      <c r="G32" s="44" t="inlineStr">
        <is>
          <t>Napomena</t>
        </is>
      </c>
    </row>
    <row r="33" ht="15" customHeight="1" s="37">
      <c r="A33" s="45" t="inlineStr">
        <is>
          <t>Desktop Core</t>
        </is>
      </c>
      <c r="B33" s="49" t="n">
        <v>0.3</v>
      </c>
      <c r="G33" s="50" t="n"/>
    </row>
    <row r="34" ht="15" customHeight="1" s="37">
      <c r="A34" s="45" t="inlineStr">
        <is>
          <t>Desktop all-in</t>
        </is>
      </c>
      <c r="B34" s="49" t="n">
        <v>0.35</v>
      </c>
      <c r="G34" s="50" t="n"/>
    </row>
    <row r="35" ht="15" customHeight="1" s="37">
      <c r="A35" s="45" t="inlineStr">
        <is>
          <t>Mobile all-in</t>
        </is>
      </c>
      <c r="B35" s="49" t="n">
        <v>0.35</v>
      </c>
      <c r="G35" s="50" t="n"/>
    </row>
    <row r="36" ht="15" customHeight="1" s="37">
      <c r="A36" s="51" t="inlineStr">
        <is>
          <t>Ukupno</t>
        </is>
      </c>
      <c r="B36" s="52">
        <f>SUM(B33:B35)</f>
        <v/>
      </c>
      <c r="G36" s="39" t="inlineStr">
        <is>
          <t>mora biti 100%</t>
        </is>
      </c>
    </row>
    <row r="38" ht="15" customHeight="1" s="37">
      <c r="A38" s="42" t="inlineStr">
        <is>
          <t>D. Scenariji rasta do sezone 2027</t>
        </is>
      </c>
      <c r="B38" s="43" t="n"/>
      <c r="C38" s="43" t="n"/>
      <c r="D38" s="43" t="n"/>
      <c r="E38" s="43" t="n"/>
      <c r="F38" s="43" t="n"/>
      <c r="G38" s="43" t="n"/>
    </row>
    <row r="39" ht="25.5" customHeight="1" s="37">
      <c r="A39" s="44" t="inlineStr">
        <is>
          <t>Scenario</t>
        </is>
      </c>
      <c r="B39" s="44" t="inlineStr">
        <is>
          <t>Novih klijenata</t>
        </is>
      </c>
      <c r="C39" s="44" t="inlineStr">
        <is>
          <t>Postojećih</t>
        </is>
      </c>
      <c r="D39" s="44" t="inlineStr">
        <is>
          <t>Ukupno</t>
        </is>
      </c>
      <c r="E39" s="44" t="n"/>
      <c r="F39" s="44" t="n"/>
      <c r="G39" s="44" t="inlineStr">
        <is>
          <t>Napomena</t>
        </is>
      </c>
    </row>
    <row r="40" ht="15" customHeight="1" s="37">
      <c r="A40" s="45" t="inlineStr">
        <is>
          <t>A — konzervativni</t>
        </is>
      </c>
      <c r="B40" s="48" t="n">
        <v>5</v>
      </c>
      <c r="C40" s="48" t="n">
        <v>3</v>
      </c>
      <c r="D40" s="53">
        <f>B40+C40</f>
        <v/>
      </c>
      <c r="G40" s="47" t="n"/>
    </row>
    <row r="41" ht="15" customHeight="1" s="37">
      <c r="A41" s="45" t="inlineStr">
        <is>
          <t>B — balansirani</t>
        </is>
      </c>
      <c r="B41" s="48" t="n">
        <v>8</v>
      </c>
      <c r="C41" s="48" t="n">
        <v>3</v>
      </c>
      <c r="D41" s="53">
        <f>B41+C41</f>
        <v/>
      </c>
      <c r="G41" s="47" t="n"/>
    </row>
    <row r="42" ht="15" customHeight="1" s="37">
      <c r="A42" s="45" t="inlineStr">
        <is>
          <t>C — agresivni</t>
        </is>
      </c>
      <c r="B42" s="48" t="n">
        <v>14</v>
      </c>
      <c r="C42" s="48" t="n">
        <v>3</v>
      </c>
      <c r="D42" s="53">
        <f>B42+C42</f>
        <v/>
      </c>
      <c r="G42" s="47" t="inlineStr">
        <is>
          <t>izabran, odluka 375</t>
        </is>
      </c>
    </row>
    <row r="44" ht="15" customHeight="1" s="37">
      <c r="A44" s="42" t="inlineStr">
        <is>
          <t>E. Kapacitet osnivača</t>
        </is>
      </c>
      <c r="B44" s="43" t="n"/>
      <c r="C44" s="43" t="n"/>
      <c r="D44" s="43" t="n"/>
      <c r="E44" s="43" t="n"/>
      <c r="F44" s="43" t="n"/>
      <c r="G44" s="43" t="n"/>
    </row>
    <row r="45" ht="25.5" customHeight="1" s="37">
      <c r="A45" s="44" t="inlineStr">
        <is>
          <t>Parametar</t>
        </is>
      </c>
      <c r="B45" s="44" t="inlineStr">
        <is>
          <t>Vrednost</t>
        </is>
      </c>
      <c r="C45" s="44" t="n"/>
      <c r="D45" s="44" t="n"/>
      <c r="E45" s="44" t="n"/>
      <c r="F45" s="44" t="n"/>
      <c r="G45" s="44" t="inlineStr">
        <is>
          <t>Napomena</t>
        </is>
      </c>
    </row>
    <row r="46" ht="15" customHeight="1" s="37">
      <c r="A46" s="45" t="inlineStr">
        <is>
          <t>Radnih sati nedeljno</t>
        </is>
      </c>
      <c r="B46" s="54" t="n">
        <v>60</v>
      </c>
      <c r="G46" s="47" t="inlineStr">
        <is>
          <t>unesi realnu vrednost</t>
        </is>
      </c>
    </row>
    <row r="47" ht="15" customHeight="1" s="37">
      <c r="A47" s="45" t="inlineStr">
        <is>
          <t>Radnih nedelja godišnje</t>
        </is>
      </c>
      <c r="B47" s="48" t="n">
        <v>50</v>
      </c>
      <c r="G47" s="47" t="n"/>
    </row>
    <row r="48" ht="15" customHeight="1" s="37">
      <c r="A48" s="45" t="inlineStr">
        <is>
          <t>Sati onboardinga po novom klijentu</t>
        </is>
      </c>
      <c r="B48" s="54" t="n">
        <v>12</v>
      </c>
      <c r="G48" s="47" t="inlineStr">
        <is>
          <t>pola dana na licu mesta + priprema</t>
        </is>
      </c>
    </row>
    <row r="49" ht="15" customHeight="1" s="37">
      <c r="A49" s="45" t="inlineStr">
        <is>
          <t>Sati podrške po klijentu nedeljno — van sezone</t>
        </is>
      </c>
      <c r="B49" s="55" t="n">
        <v>0.5</v>
      </c>
      <c r="G49" s="47" t="inlineStr">
        <is>
          <t>oko jedan poziv</t>
        </is>
      </c>
    </row>
    <row r="50" ht="15" customHeight="1" s="37">
      <c r="A50" s="45" t="inlineStr">
        <is>
          <t>Sati podrške po klijentu nedeljno — u sezoni</t>
        </is>
      </c>
      <c r="B50" s="55" t="n">
        <v>1.5</v>
      </c>
      <c r="G50" s="47" t="inlineStr">
        <is>
          <t>jun–novembar, odluka 378</t>
        </is>
      </c>
    </row>
    <row r="51" ht="15" customHeight="1" s="37">
      <c r="A51" s="45" t="inlineStr">
        <is>
          <t>Nedelja u sezoni</t>
        </is>
      </c>
      <c r="B51" s="48" t="n">
        <v>26</v>
      </c>
      <c r="G51" s="47" t="inlineStr">
        <is>
          <t>1. jun – 30. novembar</t>
        </is>
      </c>
    </row>
    <row r="52" ht="15" customHeight="1" s="37">
      <c r="A52" s="45" t="inlineStr">
        <is>
          <t>Sati prodaje po zatvorenom klijentu</t>
        </is>
      </c>
      <c r="B52" s="54" t="n">
        <v>40</v>
      </c>
      <c r="G52" s="47" t="inlineStr">
        <is>
          <t>uključuje i neuspele prospekte</t>
        </is>
      </c>
    </row>
    <row r="53" ht="15" customHeight="1" s="37">
      <c r="A53" s="45" t="inlineStr">
        <is>
          <t>Sati godišnje na razvoj — cilj</t>
        </is>
      </c>
      <c r="B53" s="54" t="n">
        <v>900</v>
      </c>
      <c r="G53" s="47" t="inlineStr">
        <is>
          <t>ono što ne sme da padne ispod</t>
        </is>
      </c>
    </row>
    <row r="55" ht="15" customHeight="1" s="37">
      <c r="A55" s="42" t="inlineStr">
        <is>
          <t>F. Troškovi — POPUNITI</t>
        </is>
      </c>
      <c r="B55" s="43" t="n"/>
      <c r="C55" s="43" t="n"/>
      <c r="D55" s="43" t="n"/>
      <c r="E55" s="43" t="n"/>
      <c r="F55" s="43" t="n"/>
      <c r="G55" s="43" t="n"/>
    </row>
    <row r="56" ht="25.5" customHeight="1" s="37">
      <c r="A56" s="44" t="inlineStr">
        <is>
          <t>Stavka</t>
        </is>
      </c>
      <c r="B56" s="44" t="inlineStr">
        <is>
          <t>Godišnje</t>
        </is>
      </c>
      <c r="C56" s="44" t="n"/>
      <c r="D56" s="44" t="n"/>
      <c r="E56" s="44" t="n"/>
      <c r="F56" s="44" t="n"/>
      <c r="G56" s="44" t="inlineStr">
        <is>
          <t>Napomena</t>
        </is>
      </c>
    </row>
    <row r="57" ht="15" customHeight="1" s="37">
      <c r="A57" s="45" t="inlineStr">
        <is>
          <t>Infrastruktura (Google, domeni, servisi)</t>
        </is>
      </c>
      <c r="B57" s="56" t="n">
        <v>0</v>
      </c>
      <c r="G57" s="47" t="inlineStr">
        <is>
          <t>godišnji zbir</t>
        </is>
      </c>
    </row>
    <row r="58" ht="15" customHeight="1" s="37">
      <c r="A58" s="45" t="inlineStr">
        <is>
          <t>Računovodstvo i administracija</t>
        </is>
      </c>
      <c r="B58" s="56" t="n">
        <v>0</v>
      </c>
      <c r="G58" s="47" t="n"/>
    </row>
    <row r="59" ht="15" customHeight="1" s="37">
      <c r="A59" s="45" t="inlineStr">
        <is>
          <t>Pravni troškovi</t>
        </is>
      </c>
      <c r="B59" s="56" t="n">
        <v>0</v>
      </c>
      <c r="G59" s="47" t="inlineStr">
        <is>
          <t>ugovor, LEG1 analiza</t>
        </is>
      </c>
    </row>
    <row r="60" ht="15" customHeight="1" s="37">
      <c r="A60" s="45" t="inlineStr">
        <is>
          <t>Marketing i prodaja</t>
        </is>
      </c>
      <c r="B60" s="56" t="n">
        <v>0</v>
      </c>
      <c r="G60" s="47" t="inlineStr">
        <is>
          <t>nivo iz odluke 374</t>
        </is>
      </c>
    </row>
    <row r="61" ht="15" customHeight="1" s="37">
      <c r="A61" s="45" t="inlineStr">
        <is>
          <t>Oprema i hardver za demo</t>
        </is>
      </c>
      <c r="B61" s="56" t="n">
        <v>0</v>
      </c>
      <c r="G61" s="47" t="n"/>
    </row>
    <row r="62" ht="15" customHeight="1" s="37">
      <c r="A62" s="45" t="inlineStr">
        <is>
          <t>Putni troškovi</t>
        </is>
      </c>
      <c r="B62" s="56" t="n">
        <v>0</v>
      </c>
      <c r="G62" s="47" t="inlineStr">
        <is>
          <t>teren i sastanci</t>
        </is>
      </c>
    </row>
    <row r="63" ht="15" customHeight="1" s="37">
      <c r="A63" s="45" t="inlineStr">
        <is>
          <t>Plata support osobe (bruto ukupno)</t>
        </is>
      </c>
      <c r="B63" s="56" t="n">
        <v>0</v>
      </c>
      <c r="G63" s="47" t="inlineStr">
        <is>
          <t>MKT5, uvodi se po BC3 / 336</t>
        </is>
      </c>
    </row>
    <row r="64" ht="15" customHeight="1" s="37">
      <c r="A64" s="45" t="inlineStr">
        <is>
          <t>Ostalo</t>
        </is>
      </c>
      <c r="B64" s="56" t="n">
        <v>0</v>
      </c>
      <c r="G64" s="47" t="n"/>
    </row>
    <row r="65" ht="15" customHeight="1" s="37">
      <c r="A65" s="51" t="inlineStr">
        <is>
          <t>Ukupni troškovi</t>
        </is>
      </c>
      <c r="B65" s="57">
        <f>SUM(B57:B64)</f>
        <v/>
      </c>
    </row>
    <row r="67">
      <c r="A67" s="44" t="inlineStr">
        <is>
          <t>G. Dopune cenovne revizije 27.07.2026.</t>
        </is>
      </c>
    </row>
    <row r="68">
      <c r="A68" s="44" t="inlineStr">
        <is>
          <t>Stavka</t>
        </is>
      </c>
      <c r="B68" s="44" t="inlineStr">
        <is>
          <t>Vrednost</t>
        </is>
      </c>
      <c r="G68" s="44" t="inlineStr">
        <is>
          <t>Napomena</t>
        </is>
      </c>
    </row>
    <row r="69">
      <c r="A69" s="45" t="inlineStr">
        <is>
          <t>Savetnik — Enterprise osnovica</t>
        </is>
      </c>
      <c r="B69" s="56" t="n">
        <v>100</v>
      </c>
      <c r="G69" s="47" t="inlineStr">
        <is>
          <t>odluka 419</t>
        </is>
      </c>
    </row>
    <row r="70">
      <c r="A70" s="45" t="inlineStr">
        <is>
          <t>Savetnik — Enterprise po gazdinstvu</t>
        </is>
      </c>
      <c r="B70" s="56" t="n">
        <v>10</v>
      </c>
      <c r="G70" s="47" t="inlineStr">
        <is>
          <t>odluka 419, preko 10</t>
        </is>
      </c>
    </row>
    <row r="71">
      <c r="A71" s="45" t="inlineStr">
        <is>
          <t>Hladnjaca/Proizvodnja — dodatni pogon</t>
        </is>
      </c>
      <c r="B71" s="56" t="n">
        <v>200</v>
      </c>
      <c r="G71" s="47" t="inlineStr">
        <is>
          <t>odluka 413, -50% od 400</t>
        </is>
      </c>
    </row>
    <row r="72">
      <c r="A72" s="45" t="inlineStr">
        <is>
          <t>Prosecan broj Savetnik licenci po klijentu</t>
        </is>
      </c>
      <c r="B72" s="56" t="n">
        <v>0</v>
      </c>
      <c r="G72" s="47" t="inlineStr">
        <is>
          <t>POPUNITI — nema podatka u odlukama, drzi ARR nepromenjen dok je 0</t>
        </is>
      </c>
    </row>
    <row r="73">
      <c r="A73" s="45" t="inlineStr">
        <is>
          <t>Prosecan broj dodatnih pogona po klijentu</t>
        </is>
      </c>
      <c r="B73" s="56" t="n">
        <v>0</v>
      </c>
      <c r="G73" s="47" t="inlineStr">
        <is>
          <t>POPUNITI — nema podatka u odlukama, drzi ARR nepromenjen dok je 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16" customWidth="1" style="36" min="2" max="4"/>
    <col width="6" customWidth="1" style="36" min="5" max="5"/>
    <col width="44" customWidth="1" style="36" min="6" max="6"/>
  </cols>
  <sheetData>
    <row r="1" ht="17.35" customHeight="1" s="37">
      <c r="A1" s="38" t="inlineStr">
        <is>
          <t>Prihod</t>
        </is>
      </c>
    </row>
    <row r="2" ht="15" customHeight="1" s="37">
      <c r="A2" s="39" t="inlineStr">
        <is>
          <t>Godišnji prihod po profilu klijenta, izveden iz Pretpostavki.</t>
        </is>
      </c>
    </row>
    <row r="4" ht="15" customHeight="1" s="37">
      <c r="A4" s="42" t="inlineStr">
        <is>
          <t>A. Prihod po jednom klijentu</t>
        </is>
      </c>
      <c r="B4" s="43" t="n"/>
      <c r="C4" s="43" t="n"/>
      <c r="D4" s="43" t="n"/>
      <c r="E4" s="43" t="n"/>
      <c r="F4" s="43" t="n"/>
      <c r="G4" s="43" t="n"/>
    </row>
    <row r="5" ht="25.5" customHeight="1" s="37">
      <c r="A5" s="44" t="inlineStr">
        <is>
          <t>Komponenta</t>
        </is>
      </c>
      <c r="B5" s="44" t="inlineStr">
        <is>
          <t>Desktop Core</t>
        </is>
      </c>
      <c r="C5" s="44" t="inlineStr">
        <is>
          <t>Desktop all-in</t>
        </is>
      </c>
      <c r="D5" s="44" t="inlineStr">
        <is>
          <t>Mobile all-in</t>
        </is>
      </c>
      <c r="E5" s="44" t="n"/>
      <c r="F5" s="44" t="inlineStr">
        <is>
          <t>Formula / napomena</t>
        </is>
      </c>
    </row>
    <row r="6" ht="15" customHeight="1" s="37">
      <c r="A6" s="45" t="inlineStr">
        <is>
          <t>Osnovni paket</t>
        </is>
      </c>
      <c r="B6" s="58">
        <f>Pretpostavke!$B$6</f>
        <v/>
      </c>
      <c r="C6" s="58">
        <f>Pretpostavke!$B$7</f>
        <v/>
      </c>
      <c r="D6" s="58">
        <f>Pretpostavke!$B$9</f>
        <v/>
      </c>
      <c r="F6" s="47" t="inlineStr">
        <is>
          <t>cene iz odluke 349</t>
        </is>
      </c>
    </row>
    <row r="7" ht="15" customHeight="1" s="37">
      <c r="A7" s="45" t="inlineStr">
        <is>
          <t>Dodatne stanice</t>
        </is>
      </c>
      <c r="B7" s="58">
        <f>(Pretpostavke!$B$24-Pretpostavke!$B$25)*Pretpostavke!$B$10</f>
        <v/>
      </c>
      <c r="C7" s="58">
        <f>(Pretpostavke!$B$24-Pretpostavke!$B$25)*Pretpostavke!$B$10</f>
        <v/>
      </c>
      <c r="D7" s="58">
        <f>(Pretpostavke!$B$24-Pretpostavke!$B$25)*Pretpostavke!$B$10</f>
        <v/>
      </c>
      <c r="F7" s="47" t="inlineStr">
        <is>
          <t>prosečan broj minus uključene, po ceni iz 351</t>
        </is>
      </c>
    </row>
    <row r="8" ht="15" customHeight="1" s="37">
      <c r="A8" s="45" t="inlineStr">
        <is>
          <t>GGAP</t>
        </is>
      </c>
      <c r="B8" s="58">
        <f>Pretpostavke!$B$13*Pretpostavke!$B$28</f>
        <v/>
      </c>
      <c r="C8" s="58">
        <f>Pretpostavke!$B$13*Pretpostavke!$B$28</f>
        <v/>
      </c>
      <c r="D8" s="58">
        <f>Pretpostavke!$B$13*Pretpostavke!$B$28</f>
        <v/>
      </c>
      <c r="F8" s="47" t="inlineStr">
        <is>
          <t>očekivana vrednost prema udelu</t>
        </is>
      </c>
    </row>
    <row r="9" ht="15" customHeight="1" s="37">
      <c r="A9" s="45" t="inlineStr">
        <is>
          <t>Gazdinstvo Pro</t>
        </is>
      </c>
      <c r="B9" s="58">
        <f>Pretpostavke!$B$26*Pretpostavke!$B$27*Pretpostavke!$B$14</f>
        <v/>
      </c>
      <c r="C9" s="58">
        <f>Pretpostavke!$B$26*Pretpostavke!$B$27*Pretpostavke!$B$14</f>
        <v/>
      </c>
      <c r="D9" s="58">
        <f>Pretpostavke!$B$26*Pretpostavke!$B$27*Pretpostavke!$B$14</f>
        <v/>
      </c>
      <c r="F9" s="47" t="inlineStr">
        <is>
          <t>kooperanti × konverzija × kanalska cena</t>
        </is>
      </c>
    </row>
    <row r="10" ht="15" customHeight="1" s="37">
      <c r="A10" s="45" t="inlineStr">
        <is>
          <t>Hardverska podrška</t>
        </is>
      </c>
      <c r="B10" s="58">
        <f>Pretpostavke!$B$24*Pretpostavke!$B$18*Pretpostavke!$B$29</f>
        <v/>
      </c>
      <c r="C10" s="58">
        <f>Pretpostavke!$B$24*Pretpostavke!$B$18*Pretpostavke!$B$29</f>
        <v/>
      </c>
      <c r="D10" s="58">
        <f>Pretpostavke!$B$24*Pretpostavke!$B$18*Pretpostavke!$B$29</f>
        <v/>
      </c>
      <c r="F10" s="47" t="inlineStr">
        <is>
          <t>stanice × cena × udeo klijenata</t>
        </is>
      </c>
    </row>
    <row r="11" ht="15" customHeight="1" s="37">
      <c r="A11" s="45" t="inlineStr">
        <is>
          <t>Savetnik — Enterprise tarifa</t>
        </is>
      </c>
      <c r="B11" s="58">
        <f>(Pretpostavke!$B$69)*Pretpostavke!$B$72</f>
        <v/>
      </c>
      <c r="C11" s="58">
        <f>(Pretpostavke!$B$69)*Pretpostavke!$B$72</f>
        <v/>
      </c>
      <c r="D11" s="58">
        <f>(Pretpostavke!$B$69)*Pretpostavke!$B$72</f>
        <v/>
      </c>
      <c r="F11" s="47" t="inlineStr">
        <is>
          <t>osnovica x broj licenci; 0 dok se ne popuni pretpostavka</t>
        </is>
      </c>
    </row>
    <row r="12">
      <c r="A12" s="45" t="inlineStr">
        <is>
          <t>Hladnjaca/Proizvodnja — dodatni pogoni</t>
        </is>
      </c>
      <c r="B12" s="58">
        <f>Pretpostavke!$B$71*Pretpostavke!$B$73</f>
        <v/>
      </c>
      <c r="C12" s="58">
        <f>Pretpostavke!$B$71*Pretpostavke!$B$73</f>
        <v/>
      </c>
      <c r="D12" s="58">
        <f>Pretpostavke!$B$71*Pretpostavke!$B$73</f>
        <v/>
      </c>
      <c r="F12" s="47" t="inlineStr">
        <is>
          <t>cena po dodatnom pogonu x broj pogona; 0 dok se ne popuni</t>
        </is>
      </c>
    </row>
    <row r="13" ht="15" customHeight="1" s="37">
      <c r="A13" s="59" t="inlineStr">
        <is>
          <t>Ukupno po klijentu</t>
        </is>
      </c>
      <c r="B13" s="60">
        <f>SUM(B6:B12)</f>
        <v/>
      </c>
      <c r="C13" s="60">
        <f>SUM(C6:C12)</f>
        <v/>
      </c>
      <c r="D13" s="60">
        <f>SUM(D6:D12)</f>
        <v/>
      </c>
    </row>
    <row r="14" ht="25.5" customHeight="1" s="37"/>
    <row r="15" ht="15" customHeight="1" s="37">
      <c r="A15" s="42" t="inlineStr">
        <is>
          <t>B. Prihod po scenariju</t>
        </is>
      </c>
      <c r="B15" s="43" t="n"/>
      <c r="C15" s="43" t="n"/>
      <c r="D15" s="43" t="n"/>
      <c r="E15" s="43" t="n"/>
      <c r="F15" s="43" t="n"/>
      <c r="G15" s="43" t="n"/>
    </row>
    <row r="16" ht="15" customHeight="1" s="37">
      <c r="A16" s="44" t="inlineStr">
        <is>
          <t>Scenario</t>
        </is>
      </c>
      <c r="B16" s="44" t="inlineStr">
        <is>
          <t>Ukupno klijenata</t>
        </is>
      </c>
      <c r="C16" s="44" t="inlineStr">
        <is>
          <t>Prosečan prihod</t>
        </is>
      </c>
      <c r="D16" s="44" t="inlineStr">
        <is>
          <t>Ukupan ARR</t>
        </is>
      </c>
      <c r="E16" s="44" t="n"/>
      <c r="F16" s="44" t="inlineStr">
        <is>
          <t>Napomena</t>
        </is>
      </c>
    </row>
    <row r="17" ht="15" customHeight="1" s="37">
      <c r="A17" s="45" t="inlineStr">
        <is>
          <t>Scenario A</t>
        </is>
      </c>
      <c r="B17" s="61">
        <f>Pretpostavke!$D$40</f>
        <v/>
      </c>
      <c r="C17" s="58">
        <f>$B$13*Pretpostavke!$B$33+$C$13*Pretpostavke!$B$34+$D$13*Pretpostavke!$B$35</f>
        <v/>
      </c>
      <c r="D17" s="60">
        <f>B17*C17</f>
        <v/>
      </c>
      <c r="F17" s="47" t="n"/>
    </row>
    <row r="18">
      <c r="A18" s="45" t="inlineStr">
        <is>
          <t>Scenario B</t>
        </is>
      </c>
      <c r="B18" s="61">
        <f>Pretpostavke!$D$41</f>
        <v/>
      </c>
      <c r="C18" s="58">
        <f>$B$13*Pretpostavke!$B$33+$C$13*Pretpostavke!$B$34+$D$13*Pretpostavke!$B$35</f>
        <v/>
      </c>
      <c r="D18" s="60">
        <f>B18*C18</f>
        <v/>
      </c>
      <c r="F18" s="47" t="n"/>
    </row>
    <row r="19" ht="15" customHeight="1" s="37">
      <c r="A19" s="45" t="inlineStr">
        <is>
          <t>Scenario C</t>
        </is>
      </c>
      <c r="B19" s="61">
        <f>Pretpostavke!$D$42</f>
        <v/>
      </c>
      <c r="C19" s="58">
        <f>$B$13*Pretpostavke!$B$33+$C$13*Pretpostavke!$B$34+$D$13*Pretpostavke!$B$35</f>
        <v/>
      </c>
      <c r="D19" s="60">
        <f>B19*C19</f>
        <v/>
      </c>
      <c r="F19" s="47" t="inlineStr">
        <is>
          <t>izabran</t>
        </is>
      </c>
    </row>
    <row r="20" ht="15" customHeight="1" s="37"/>
    <row r="21" ht="15" customHeight="1" s="37"/>
    <row r="22">
      <c r="A22" s="62" t="inlineStr">
        <is>
          <t>Prosečan prihod je ponderisan strukturom baze iz odeljka C Pretpostavki. Model ne razlikuje postojeće klijente po staroj ceni (odluka 334) — za prvu godinu njihov prihod treba uneti posebno.</t>
        </is>
      </c>
    </row>
  </sheetData>
  <mergeCells count="1">
    <mergeCell ref="A20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6" min="1" max="1"/>
    <col width="14" customWidth="1" style="36" min="2" max="4"/>
    <col width="6" customWidth="1" style="36" min="5" max="5"/>
    <col width="42" customWidth="1" style="36" min="6" max="6"/>
  </cols>
  <sheetData>
    <row r="1" ht="17.35" customHeight="1" s="37">
      <c r="A1" s="38" t="inlineStr">
        <is>
          <t>Kapacitet</t>
        </is>
      </c>
    </row>
    <row r="2" ht="15" customHeight="1" s="37">
      <c r="A2" s="39" t="inlineStr">
        <is>
          <t>Koliko sati traži baza klijenata i kada osnivač postaje usko grlo.</t>
        </is>
      </c>
    </row>
    <row r="4" ht="15" customHeight="1" s="37">
      <c r="A4" s="42" t="inlineStr">
        <is>
          <t>A. Raspoloživo vreme</t>
        </is>
      </c>
      <c r="B4" s="43" t="n"/>
      <c r="C4" s="43" t="n"/>
      <c r="D4" s="43" t="n"/>
      <c r="E4" s="43" t="n"/>
      <c r="F4" s="43" t="n"/>
      <c r="G4" s="43" t="n"/>
    </row>
    <row r="5" ht="15" customHeight="1" s="37">
      <c r="A5" s="45" t="inlineStr">
        <is>
          <t>Ukupno sati godišnje</t>
        </is>
      </c>
      <c r="B5" s="63">
        <f>Pretpostavke!$B$46*Pretpostavke!$B$47</f>
        <v/>
      </c>
    </row>
    <row r="7" ht="15" customHeight="1" s="37">
      <c r="A7" s="42" t="inlineStr">
        <is>
          <t>B. Potrebno vreme po broju klijenata</t>
        </is>
      </c>
      <c r="B7" s="43" t="n"/>
      <c r="C7" s="43" t="n"/>
      <c r="D7" s="43" t="n"/>
      <c r="E7" s="43" t="n"/>
      <c r="F7" s="43" t="n"/>
      <c r="G7" s="43" t="n"/>
    </row>
    <row r="8" ht="25.5" customHeight="1" s="37">
      <c r="A8" s="44" t="inlineStr">
        <is>
          <t>Stavka</t>
        </is>
      </c>
      <c r="B8" s="44" t="inlineStr">
        <is>
          <t>8 klijenata</t>
        </is>
      </c>
      <c r="C8" s="44" t="inlineStr">
        <is>
          <t>12 klijenata</t>
        </is>
      </c>
      <c r="D8" s="44" t="inlineStr">
        <is>
          <t>18 klijenata</t>
        </is>
      </c>
      <c r="E8" s="44" t="n"/>
      <c r="F8" s="44" t="inlineStr">
        <is>
          <t>Napomena</t>
        </is>
      </c>
    </row>
    <row r="9" ht="15" customHeight="1" s="37">
      <c r="A9" s="45" t="inlineStr">
        <is>
          <t>Podrška van sezone</t>
        </is>
      </c>
      <c r="B9" s="63">
        <f>8*Pretpostavke!$B$49*(Pretpostavke!$B$47-Pretpostavke!$B$51)</f>
        <v/>
      </c>
      <c r="C9" s="63">
        <f>12*Pretpostavke!$B$49*(Pretpostavke!$B$47-Pretpostavke!$B$51)</f>
        <v/>
      </c>
      <c r="D9" s="63">
        <f>18*Pretpostavke!$B$49*(Pretpostavke!$B$47-Pretpostavke!$B$51)</f>
        <v/>
      </c>
      <c r="F9" s="47" t="inlineStr">
        <is>
          <t>klijenti × sati nedeljno × nedelja</t>
        </is>
      </c>
    </row>
    <row r="10" ht="15" customHeight="1" s="37">
      <c r="A10" s="45" t="inlineStr">
        <is>
          <t>Podrška u sezoni</t>
        </is>
      </c>
      <c r="B10" s="63">
        <f>8*Pretpostavke!$B$50*Pretpostavke!$B$51</f>
        <v/>
      </c>
      <c r="C10" s="63">
        <f>12*Pretpostavke!$B$50*Pretpostavke!$B$51</f>
        <v/>
      </c>
      <c r="D10" s="63">
        <f>18*Pretpostavke!$B$50*Pretpostavke!$B$51</f>
        <v/>
      </c>
      <c r="F10" s="47" t="inlineStr">
        <is>
          <t>jun–novembar</t>
        </is>
      </c>
    </row>
    <row r="11" ht="15" customHeight="1" s="37">
      <c r="A11" s="45" t="inlineStr">
        <is>
          <t>Onboarding novih</t>
        </is>
      </c>
      <c r="B11" s="63">
        <f>(8-3)*Pretpostavke!$B$48</f>
        <v/>
      </c>
      <c r="C11" s="63">
        <f>(12-3)*Pretpostavke!$B$48</f>
        <v/>
      </c>
      <c r="D11" s="63">
        <f>(18-3)*Pretpostavke!$B$48</f>
        <v/>
      </c>
      <c r="F11" s="47" t="inlineStr">
        <is>
          <t>samo novi klijenti</t>
        </is>
      </c>
    </row>
    <row r="12" ht="15" customHeight="1" s="37">
      <c r="A12" s="45" t="inlineStr">
        <is>
          <t>Prodaja</t>
        </is>
      </c>
      <c r="B12" s="63">
        <f>(8-3)*Pretpostavke!$B$52</f>
        <v/>
      </c>
      <c r="C12" s="63">
        <f>(12-3)*Pretpostavke!$B$52</f>
        <v/>
      </c>
      <c r="D12" s="63">
        <f>(18-3)*Pretpostavke!$B$52</f>
        <v/>
      </c>
      <c r="F12" s="47" t="inlineStr">
        <is>
          <t>uključuje neuspele prospekte</t>
        </is>
      </c>
    </row>
    <row r="13" ht="15" customHeight="1" s="37">
      <c r="A13" s="59" t="inlineStr">
        <is>
          <t>Ukupno potrebno</t>
        </is>
      </c>
      <c r="B13" s="64">
        <f>SUM(B9:B12)</f>
        <v/>
      </c>
      <c r="C13" s="64">
        <f>SUM(C9:C12)</f>
        <v/>
      </c>
      <c r="D13" s="64">
        <f>SUM(D9:D12)</f>
        <v/>
      </c>
    </row>
    <row r="14" ht="15" customHeight="1" s="37">
      <c r="A14" s="59" t="inlineStr">
        <is>
          <t>Preostalo za razvoj</t>
        </is>
      </c>
      <c r="B14" s="64">
        <f>$B$5-B13</f>
        <v/>
      </c>
      <c r="C14" s="64">
        <f>$B$5-C13</f>
        <v/>
      </c>
      <c r="D14" s="64">
        <f>$B$5-D13</f>
        <v/>
      </c>
    </row>
    <row r="15" ht="15" customHeight="1" s="37">
      <c r="A15" s="45" t="inlineStr">
        <is>
          <t>Cilj za razvoj</t>
        </is>
      </c>
      <c r="B15" s="65">
        <f>Pretpostavke!$B$53</f>
        <v/>
      </c>
      <c r="C15" s="65">
        <f>Pretpostavke!$B$53</f>
        <v/>
      </c>
      <c r="D15" s="65">
        <f>Pretpostavke!$B$53</f>
        <v/>
      </c>
    </row>
    <row r="16" ht="15" customHeight="1" s="37">
      <c r="A16" s="59" t="inlineStr">
        <is>
          <t>Status</t>
        </is>
      </c>
      <c r="B16" s="66">
        <f>IF(B14&gt;=B15,"u granicama","NEDOSTAJE VREMENA")</f>
        <v/>
      </c>
      <c r="C16" s="66">
        <f>IF(C14&gt;=C15,"u granicama","NEDOSTAJE VREMENA")</f>
        <v/>
      </c>
      <c r="D16" s="66">
        <f>IF(D14&gt;=D15,"u granicama","NEDOSTAJE VREMENA")</f>
        <v/>
      </c>
    </row>
    <row r="18" ht="15" customHeight="1" s="37">
      <c r="A18" s="42" t="inlineStr">
        <is>
          <t>C. Okidač za zapošljavanje</t>
        </is>
      </c>
      <c r="B18" s="43" t="n"/>
      <c r="C18" s="43" t="n"/>
      <c r="D18" s="43" t="n"/>
      <c r="E18" s="43" t="n"/>
      <c r="F18" s="43" t="n"/>
      <c r="G18" s="43" t="n"/>
    </row>
    <row r="19" ht="15" customHeight="1" s="37">
      <c r="A19" s="40" t="inlineStr">
        <is>
          <t>Odluka BC3 i 336: druga tehnički ovlašćena osoba uvodi se najkasnije pri 15–20 aktivnih firmi.</t>
        </is>
      </c>
    </row>
    <row r="20" ht="15" customHeight="1" s="37">
      <c r="A20" s="40" t="inlineStr">
        <is>
          <t>Sezona jun–novembar (odluka 378) znači šest meseci pojačane podrške, pa okidač u praksi pada pre 1. juna 2027.</t>
        </is>
      </c>
    </row>
    <row r="21" ht="15" customHeight="1" s="37">
      <c r="A21" s="40" t="inlineStr">
        <is>
          <t>Ako red Status pokazuje da nedostaje vremena već pri 12 klijenata, zapošljavanje ne čeka brojku iz BC3.</t>
        </is>
      </c>
    </row>
  </sheetData>
  <mergeCells count="3">
    <mergeCell ref="A19:F19"/>
    <mergeCell ref="A21:F21"/>
    <mergeCell ref="A20:F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6" min="1" max="1"/>
    <col width="11" customWidth="1" style="36" min="2" max="14"/>
  </cols>
  <sheetData>
    <row r="1" ht="17.35" customHeight="1" s="37">
      <c r="A1" s="38" t="inlineStr">
        <is>
          <t>Mesečni tok novca — scenario C</t>
        </is>
      </c>
    </row>
    <row r="2" ht="15" customHeight="1" s="37">
      <c r="A2" s="39" t="inlineStr">
        <is>
          <t>Uplate su koncentrisane pre sezone (odluke 325, 326).</t>
        </is>
      </c>
    </row>
    <row r="4" ht="25.5" customHeight="1" s="37">
      <c r="A4" s="44" t="inlineStr">
        <is>
          <t>Stavka</t>
        </is>
      </c>
      <c r="B4" s="44" t="inlineStr">
        <is>
          <t>Jan</t>
        </is>
      </c>
      <c r="C4" s="44" t="inlineStr">
        <is>
          <t>Feb</t>
        </is>
      </c>
      <c r="D4" s="44" t="inlineStr">
        <is>
          <t>Mar</t>
        </is>
      </c>
      <c r="E4" s="44" t="inlineStr">
        <is>
          <t>Apr</t>
        </is>
      </c>
      <c r="F4" s="44" t="inlineStr">
        <is>
          <t>Maj</t>
        </is>
      </c>
      <c r="G4" s="44" t="inlineStr">
        <is>
          <t>Jun</t>
        </is>
      </c>
      <c r="H4" s="44" t="inlineStr">
        <is>
          <t>Jul</t>
        </is>
      </c>
      <c r="I4" s="44" t="inlineStr">
        <is>
          <t>Avg</t>
        </is>
      </c>
      <c r="J4" s="44" t="inlineStr">
        <is>
          <t>Sep</t>
        </is>
      </c>
      <c r="K4" s="44" t="inlineStr">
        <is>
          <t>Okt</t>
        </is>
      </c>
      <c r="L4" s="44" t="inlineStr">
        <is>
          <t>Nov</t>
        </is>
      </c>
      <c r="M4" s="44" t="inlineStr">
        <is>
          <t>Dec</t>
        </is>
      </c>
      <c r="N4" s="44" t="inlineStr">
        <is>
          <t>Ukupno</t>
        </is>
      </c>
    </row>
    <row r="5" ht="15" customHeight="1" s="37">
      <c r="A5" s="45" t="inlineStr">
        <is>
          <t>Raspored uplata (%)</t>
        </is>
      </c>
      <c r="B5" s="49" t="n">
        <v>0</v>
      </c>
      <c r="C5" s="49" t="n">
        <v>0.05</v>
      </c>
      <c r="D5" s="49" t="n">
        <v>0.25</v>
      </c>
      <c r="E5" s="49" t="n">
        <v>0.35</v>
      </c>
      <c r="F5" s="49" t="n">
        <v>0.25</v>
      </c>
      <c r="G5" s="49" t="n">
        <v>0.05</v>
      </c>
      <c r="H5" s="49" t="n">
        <v>0</v>
      </c>
      <c r="I5" s="49" t="n">
        <v>0</v>
      </c>
      <c r="J5" s="49" t="n">
        <v>0</v>
      </c>
      <c r="K5" s="49" t="n">
        <v>0</v>
      </c>
      <c r="L5" s="49" t="n">
        <v>0.05</v>
      </c>
      <c r="M5" s="49" t="n">
        <v>0</v>
      </c>
      <c r="N5" s="67">
        <f>SUM(B5:M5)</f>
        <v/>
      </c>
    </row>
    <row r="6" ht="15" customHeight="1" s="37">
      <c r="A6" s="45" t="inlineStr">
        <is>
          <t>Prihod</t>
        </is>
      </c>
      <c r="B6" s="58">
        <f>B5*Prihod!$D$19</f>
        <v/>
      </c>
      <c r="C6" s="58">
        <f>C5*Prihod!$D$19</f>
        <v/>
      </c>
      <c r="D6" s="58">
        <f>D5*Prihod!$D$19</f>
        <v/>
      </c>
      <c r="E6" s="58">
        <f>E5*Prihod!$D$19</f>
        <v/>
      </c>
      <c r="F6" s="58">
        <f>F5*Prihod!$D$19</f>
        <v/>
      </c>
      <c r="G6" s="58">
        <f>G5*Prihod!$D$19</f>
        <v/>
      </c>
      <c r="H6" s="58">
        <f>H5*Prihod!$D$19</f>
        <v/>
      </c>
      <c r="I6" s="58">
        <f>I5*Prihod!$D$19</f>
        <v/>
      </c>
      <c r="J6" s="58">
        <f>J5*Prihod!$D$19</f>
        <v/>
      </c>
      <c r="K6" s="58">
        <f>K5*Prihod!$D$19</f>
        <v/>
      </c>
      <c r="L6" s="58">
        <f>L5*Prihod!$D$19</f>
        <v/>
      </c>
      <c r="M6" s="58">
        <f>M5*Prihod!$D$19</f>
        <v/>
      </c>
      <c r="N6" s="60">
        <f>SUM(B6:M6)</f>
        <v/>
      </c>
    </row>
    <row r="7" ht="15" customHeight="1" s="37">
      <c r="A7" s="45" t="inlineStr">
        <is>
          <t>Troškovi</t>
        </is>
      </c>
      <c r="B7" s="58">
        <f>-Pretpostavke!$B$65/12</f>
        <v/>
      </c>
      <c r="C7" s="58">
        <f>-Pretpostavke!$B$65/12</f>
        <v/>
      </c>
      <c r="D7" s="58">
        <f>-Pretpostavke!$B$65/12</f>
        <v/>
      </c>
      <c r="E7" s="58">
        <f>-Pretpostavke!$B$65/12</f>
        <v/>
      </c>
      <c r="F7" s="58">
        <f>-Pretpostavke!$B$65/12</f>
        <v/>
      </c>
      <c r="G7" s="58">
        <f>-Pretpostavke!$B$65/12</f>
        <v/>
      </c>
      <c r="H7" s="58">
        <f>-Pretpostavke!$B$65/12</f>
        <v/>
      </c>
      <c r="I7" s="58">
        <f>-Pretpostavke!$B$65/12</f>
        <v/>
      </c>
      <c r="J7" s="58">
        <f>-Pretpostavke!$B$65/12</f>
        <v/>
      </c>
      <c r="K7" s="58">
        <f>-Pretpostavke!$B$65/12</f>
        <v/>
      </c>
      <c r="L7" s="58">
        <f>-Pretpostavke!$B$65/12</f>
        <v/>
      </c>
      <c r="M7" s="58">
        <f>-Pretpostavke!$B$65/12</f>
        <v/>
      </c>
      <c r="N7" s="60">
        <f>SUM(B7:M7)</f>
        <v/>
      </c>
    </row>
    <row r="8" ht="15" customHeight="1" s="37">
      <c r="A8" s="59" t="inlineStr">
        <is>
          <t>Neto</t>
        </is>
      </c>
      <c r="B8" s="60">
        <f>B6+B7</f>
        <v/>
      </c>
      <c r="C8" s="60">
        <f>C6+C7</f>
        <v/>
      </c>
      <c r="D8" s="60">
        <f>D6+D7</f>
        <v/>
      </c>
      <c r="E8" s="60">
        <f>E6+E7</f>
        <v/>
      </c>
      <c r="F8" s="60">
        <f>F6+F7</f>
        <v/>
      </c>
      <c r="G8" s="60">
        <f>G6+G7</f>
        <v/>
      </c>
      <c r="H8" s="60">
        <f>H6+H7</f>
        <v/>
      </c>
      <c r="I8" s="60">
        <f>I6+I7</f>
        <v/>
      </c>
      <c r="J8" s="60">
        <f>J6+J7</f>
        <v/>
      </c>
      <c r="K8" s="60">
        <f>K6+K7</f>
        <v/>
      </c>
      <c r="L8" s="60">
        <f>L6+L7</f>
        <v/>
      </c>
      <c r="M8" s="60">
        <f>M6+M7</f>
        <v/>
      </c>
      <c r="N8" s="60">
        <f>N6+N7</f>
        <v/>
      </c>
    </row>
    <row r="9" ht="15" customHeight="1" s="37">
      <c r="A9" s="59" t="inlineStr">
        <is>
          <t>Kumulativno</t>
        </is>
      </c>
      <c r="B9" s="60">
        <f>B8</f>
        <v/>
      </c>
      <c r="C9" s="60">
        <f>B9+C8</f>
        <v/>
      </c>
      <c r="D9" s="60">
        <f>C9+D8</f>
        <v/>
      </c>
      <c r="E9" s="60">
        <f>D9+E8</f>
        <v/>
      </c>
      <c r="F9" s="60">
        <f>E9+F8</f>
        <v/>
      </c>
      <c r="G9" s="60">
        <f>F9+G8</f>
        <v/>
      </c>
      <c r="H9" s="60">
        <f>G9+H8</f>
        <v/>
      </c>
      <c r="I9" s="60">
        <f>H9+I8</f>
        <v/>
      </c>
      <c r="J9" s="60">
        <f>I9+J8</f>
        <v/>
      </c>
      <c r="K9" s="60">
        <f>J9+K8</f>
        <v/>
      </c>
      <c r="L9" s="60">
        <f>K9+L8</f>
        <v/>
      </c>
      <c r="M9" s="60">
        <f>L9+M8</f>
        <v/>
      </c>
    </row>
    <row r="11" ht="15" customHeight="1" s="37">
      <c r="A11" s="62" t="inlineStr">
        <is>
          <t>Raspored uplata je pretpostavka — promeni plavi red ako se tvoja praksa razlikuje. Troškovi su ravnomerno raspoređeni; ako neka stavka nije, razdvoj je u poseban red.</t>
        </is>
      </c>
    </row>
    <row r="12" ht="15" customHeight="1" s="37"/>
  </sheetData>
  <mergeCells count="1">
    <mergeCell ref="A11:N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16" customWidth="1" style="36" min="2" max="4"/>
    <col width="44" customWidth="1" style="36" min="5" max="5"/>
  </cols>
  <sheetData>
    <row r="1" ht="17.35" customHeight="1" s="37">
      <c r="A1" s="38" t="inlineStr">
        <is>
          <t>Poređenje scenarija</t>
        </is>
      </c>
    </row>
    <row r="2" ht="15" customHeight="1" s="37">
      <c r="A2" s="39" t="inlineStr">
        <is>
          <t>Sve vrednosti se izvode iz Pretpostavki i ostalih listova.</t>
        </is>
      </c>
    </row>
    <row r="4" ht="25.5" customHeight="1" s="37">
      <c r="A4" s="44" t="inlineStr">
        <is>
          <t>Pokazatelj</t>
        </is>
      </c>
      <c r="B4" s="44" t="inlineStr">
        <is>
          <t>Scenario A</t>
        </is>
      </c>
      <c r="C4" s="44" t="inlineStr">
        <is>
          <t>Scenario B</t>
        </is>
      </c>
      <c r="D4" s="44" t="inlineStr">
        <is>
          <t>Scenario C</t>
        </is>
      </c>
      <c r="E4" s="44" t="inlineStr">
        <is>
          <t>Napomena</t>
        </is>
      </c>
    </row>
    <row r="5" ht="15" customHeight="1" s="37">
      <c r="A5" s="45" t="inlineStr">
        <is>
          <t>Novih klijenata</t>
        </is>
      </c>
      <c r="B5" s="68">
        <f>Pretpostavke!$B$40</f>
        <v/>
      </c>
      <c r="C5" s="68">
        <f>Pretpostavke!$B$41</f>
        <v/>
      </c>
      <c r="D5" s="68">
        <f>Pretpostavke!$B$42</f>
        <v/>
      </c>
      <c r="E5" s="47" t="n"/>
    </row>
    <row r="6" ht="15" customHeight="1" s="37">
      <c r="A6" s="45" t="inlineStr">
        <is>
          <t>Ukupno klijenata</t>
        </is>
      </c>
      <c r="B6" s="68">
        <f>Pretpostavke!$D$40</f>
        <v/>
      </c>
      <c r="C6" s="68">
        <f>Pretpostavke!$D$41</f>
        <v/>
      </c>
      <c r="D6" s="68">
        <f>Pretpostavke!$D$42</f>
        <v/>
      </c>
      <c r="E6" s="47" t="n"/>
    </row>
    <row r="7" ht="15" customHeight="1" s="37">
      <c r="A7" s="59" t="inlineStr">
        <is>
          <t>Ukupan ARR</t>
        </is>
      </c>
      <c r="B7" s="69">
        <f>Prihod!$D$17</f>
        <v/>
      </c>
      <c r="C7" s="69">
        <f>Prihod!$D$18</f>
        <v/>
      </c>
      <c r="D7" s="69">
        <f>Prihod!$D$19</f>
        <v/>
      </c>
      <c r="E7" s="47" t="n"/>
    </row>
    <row r="8" ht="15" customHeight="1" s="37">
      <c r="A8" s="45" t="inlineStr">
        <is>
          <t>Prihod po klijentu</t>
        </is>
      </c>
      <c r="B8" s="69">
        <f>IFERROR(B7/B6,0)</f>
        <v/>
      </c>
      <c r="C8" s="69">
        <f>IFERROR(C7/C6,0)</f>
        <v/>
      </c>
      <c r="D8" s="69">
        <f>IFERROR(D7/D6,0)</f>
        <v/>
      </c>
      <c r="E8" s="47" t="n"/>
    </row>
    <row r="9" ht="15" customHeight="1" s="37">
      <c r="A9" s="45" t="inlineStr">
        <is>
          <t>Troškovi</t>
        </is>
      </c>
      <c r="B9" s="69">
        <f>Pretpostavke!$B$65</f>
        <v/>
      </c>
      <c r="C9" s="69">
        <f>Pretpostavke!$B$65</f>
        <v/>
      </c>
      <c r="D9" s="69">
        <f>Pretpostavke!$B$65</f>
        <v/>
      </c>
      <c r="E9" s="47" t="inlineStr">
        <is>
          <t>isti u sva tri dok se ne razdvoje</t>
        </is>
      </c>
    </row>
    <row r="10" ht="15" customHeight="1" s="37">
      <c r="A10" s="59" t="inlineStr">
        <is>
          <t>Neto rezultat</t>
        </is>
      </c>
      <c r="B10" s="69">
        <f>B7-B9</f>
        <v/>
      </c>
      <c r="C10" s="69">
        <f>C7-C9</f>
        <v/>
      </c>
      <c r="D10" s="69">
        <f>D7-D9</f>
        <v/>
      </c>
      <c r="E10" s="47" t="inlineStr">
        <is>
          <t>nema smisla dok troškovi nisu popunjeni</t>
        </is>
      </c>
    </row>
    <row r="11" ht="15" customHeight="1" s="37">
      <c r="A11" s="45" t="inlineStr">
        <is>
          <t>Potrebno sati godišnje</t>
        </is>
      </c>
      <c r="B11" s="70">
        <f>Kapacitet!$B$13</f>
        <v/>
      </c>
      <c r="C11" s="70">
        <f>Kapacitet!$C$13</f>
        <v/>
      </c>
      <c r="D11" s="70">
        <f>Kapacitet!$D$13</f>
        <v/>
      </c>
      <c r="E11" s="47" t="inlineStr">
        <is>
          <t>kolone 8 / 12 / 18 klijenata</t>
        </is>
      </c>
    </row>
    <row r="12" ht="15" customHeight="1" s="37">
      <c r="A12" s="45" t="inlineStr">
        <is>
          <t>Druga osoba obavezna</t>
        </is>
      </c>
      <c r="B12" s="71">
        <f>IF(B6&gt;=15,"DA","ne još")</f>
        <v/>
      </c>
      <c r="C12" s="71">
        <f>IF(C6&gt;=15,"DA","ne još")</f>
        <v/>
      </c>
      <c r="D12" s="71">
        <f>IF(D6&gt;=15,"DA","ne još")</f>
        <v/>
      </c>
      <c r="E12" s="47" t="inlineStr">
        <is>
          <t>prag iz BC3 i 336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2026-07-26T18:21:21Z</dcterms:created>
  <dcterms:modified xsi:type="dcterms:W3CDTF">2026-07-27T11:43:45Z</dcterms:modified>
  <cp:revision>0</cp:revision>
</cp:coreProperties>
</file>