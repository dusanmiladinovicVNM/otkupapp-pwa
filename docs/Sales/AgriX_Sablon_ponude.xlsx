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onuda" sheetId="1" state="visible" r:id="rId1"/>
    <sheet name="Cenovnik" sheetId="2" state="visible" r:id="rId2"/>
    <sheet name="Uputstvo" sheetId="3" state="visible" r:id="rId3"/>
  </sheets>
  <definedNames>
    <definedName name="_xlnm.Print_Area" localSheetId="0">'Ponuda'!$A$1:$F$62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&quot; €&quot;;\(#,##0&quot; €)&quot;;\-"/>
    <numFmt numFmtId="165" formatCode="#,##0&quot; RSD&quot;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D14"/>
      <sz val="20"/>
    </font>
    <font>
      <name val="Arial"/>
      <charset val="1"/>
      <family val="0"/>
      <b val="1"/>
      <color rgb="FF1E2D14"/>
      <sz val="16"/>
    </font>
    <font>
      <name val="Arial"/>
      <charset val="1"/>
      <family val="0"/>
      <color rgb="FFC8A84B"/>
      <sz val="10"/>
    </font>
    <font>
      <name val="Arial"/>
      <charset val="1"/>
      <family val="0"/>
      <color rgb="FF7A856E"/>
      <sz val="8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E2D1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E2D14"/>
      <sz val="13"/>
    </font>
  </fonts>
  <fills count="4">
    <fill>
      <patternFill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E2D14"/>
        <bgColor rgb="FF333333"/>
      </patternFill>
    </fill>
  </fills>
  <borders count="7">
    <border>
      <left/>
      <right/>
      <top/>
      <bottom/>
      <diagonal/>
    </border>
    <border>
      <left/>
      <right/>
      <top/>
      <bottom style="thin">
        <color rgb="FFC8A84B"/>
      </bottom>
      <diagonal/>
    </border>
    <border>
      <left style="thin">
        <color rgb="FFD8D2C2"/>
      </left>
      <right/>
      <top style="thin">
        <color rgb="FFD8D2C2"/>
      </top>
      <bottom style="thin">
        <color rgb="FFD8D2C2"/>
      </bottom>
      <diagonal/>
    </border>
    <border>
      <left style="thin">
        <color rgb="FFD8D2C2"/>
      </left>
      <right style="thin">
        <color rgb="FFD8D2C2"/>
      </right>
      <top style="thin">
        <color rgb="FFD8D2C2"/>
      </top>
      <bottom style="thin">
        <color rgb="FFD8D2C2"/>
      </bottom>
      <diagonal/>
    </border>
    <border>
      <left/>
      <right/>
      <top style="medium">
        <color rgb="FF1E2D14"/>
      </top>
      <bottom/>
      <diagonal/>
    </border>
    <border>
      <left/>
      <right/>
      <top style="thin">
        <color rgb="FFD8D2C2"/>
      </top>
      <bottom/>
      <diagonal/>
    </border>
    <border>
      <left/>
      <right/>
      <top style="thin">
        <color rgb="FFD8D2C2"/>
      </top>
      <bottom style="thin">
        <color rgb="FFD8D2C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general" vertical="bottom"/>
    </xf>
    <xf numFmtId="0" fontId="11" fillId="3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bottom"/>
    </xf>
    <xf numFmtId="0" fontId="8" fillId="2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center" vertical="bottom"/>
    </xf>
    <xf numFmtId="164" fontId="10" fillId="0" borderId="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8" fillId="2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164" fontId="5" fillId="0" borderId="4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general" vertical="bottom"/>
    </xf>
    <xf numFmtId="0" fontId="11" fillId="3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164" fontId="9" fillId="0" borderId="4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3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general" vertical="bottom"/>
    </xf>
    <xf numFmtId="0" fontId="0" fillId="0" borderId="6" pivotButton="0" quotePrefix="0" xfId="0"/>
    <xf numFmtId="0" fontId="11" fillId="3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bottom"/>
    </xf>
    <xf numFmtId="0" fontId="8" fillId="2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center" vertical="bottom"/>
    </xf>
    <xf numFmtId="164" fontId="10" fillId="0" borderId="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8" fillId="2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164" fontId="5" fillId="0" borderId="4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5" fontId="10" fillId="0" borderId="0" applyAlignment="1" pivotButton="0" quotePrefix="0" xfId="0">
      <alignment horizontal="general" vertical="bottom"/>
    </xf>
    <xf numFmtId="0" fontId="11" fillId="3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164" fontId="9" fillId="0" borderId="4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3" borderId="3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2"/>
      <rgbColor rgb="FF7A856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003366"/>
      <rgbColor rgb="FF339966"/>
      <rgbColor rgb="FF003300"/>
      <rgbColor rgb="FF1E2D14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40" customWidth="1" style="32" min="2" max="2"/>
    <col width="9" customWidth="1" style="32" min="3" max="3"/>
    <col width="13" customWidth="1" style="32" min="4" max="4"/>
    <col width="15" customWidth="1" style="32" min="5" max="5"/>
    <col width="26" customWidth="1" style="32" min="6" max="6"/>
  </cols>
  <sheetData>
    <row r="1" ht="24.45" customHeight="1" s="33">
      <c r="A1" s="34" t="inlineStr">
        <is>
          <t>AgriX</t>
        </is>
      </c>
      <c r="E1" s="35" t="inlineStr">
        <is>
          <t>PONUDA</t>
        </is>
      </c>
    </row>
    <row r="2" ht="15" customHeight="1" s="33">
      <c r="A2" s="36" t="inlineStr">
        <is>
          <t>Softver za otkup i hladnjače</t>
        </is>
      </c>
      <c r="E2" s="37" t="inlineStr">
        <is>
          <t>broj:</t>
        </is>
      </c>
      <c r="F2" s="38" t="inlineStr">
        <is>
          <t>P-2026-___</t>
        </is>
      </c>
    </row>
    <row r="3" ht="15" customHeight="1" s="33">
      <c r="E3" s="37" t="inlineStr">
        <is>
          <t>datum:</t>
        </is>
      </c>
      <c r="F3" s="38" t="inlineStr">
        <is>
          <t>__.__.2026.</t>
        </is>
      </c>
    </row>
    <row r="4" ht="15" customHeight="1" s="33">
      <c r="A4" s="39" t="n"/>
      <c r="B4" s="39" t="n"/>
      <c r="C4" s="39" t="n"/>
      <c r="D4" s="39" t="n"/>
      <c r="E4" s="39" t="n"/>
      <c r="F4" s="39" t="n"/>
    </row>
    <row r="5"/>
    <row r="6" ht="15" customHeight="1" s="33">
      <c r="A6" s="40" t="inlineStr">
        <is>
          <t>PODACI O KORISNIKU</t>
        </is>
      </c>
    </row>
    <row r="7" ht="15" customHeight="1" s="33">
      <c r="A7" s="41" t="inlineStr">
        <is>
          <t>Poslovno ime</t>
        </is>
      </c>
      <c r="C7" s="42" t="n"/>
      <c r="D7" s="43" t="n"/>
      <c r="E7" s="43" t="n"/>
      <c r="F7" s="43" t="n"/>
    </row>
    <row r="8" ht="15" customHeight="1" s="33">
      <c r="A8" s="41" t="inlineStr">
        <is>
          <t>Adresa</t>
        </is>
      </c>
      <c r="C8" s="42" t="n"/>
      <c r="D8" s="43" t="n"/>
      <c r="E8" s="43" t="n"/>
      <c r="F8" s="43" t="n"/>
    </row>
    <row r="9" ht="15" customHeight="1" s="33">
      <c r="A9" s="41" t="inlineStr">
        <is>
          <t>PIB / matični broj</t>
        </is>
      </c>
      <c r="C9" s="42" t="n"/>
      <c r="D9" s="43" t="n"/>
      <c r="E9" s="43" t="n"/>
      <c r="F9" s="43" t="n"/>
    </row>
    <row r="10" ht="15" customHeight="1" s="33">
      <c r="A10" s="41" t="inlineStr">
        <is>
          <t>Kontakt osoba</t>
        </is>
      </c>
      <c r="C10" s="42" t="n"/>
      <c r="D10" s="43" t="n"/>
      <c r="E10" s="43" t="n"/>
      <c r="F10" s="43" t="n"/>
    </row>
    <row r="11" ht="15" customHeight="1" s="33">
      <c r="A11" s="41" t="inlineStr">
        <is>
          <t>Telefon i email</t>
        </is>
      </c>
      <c r="C11" s="42" t="n"/>
      <c r="D11" s="43" t="n"/>
      <c r="E11" s="43" t="n"/>
      <c r="F11" s="43" t="n"/>
    </row>
    <row r="12"/>
    <row r="13" ht="15" customHeight="1" s="33">
      <c r="A13" s="40" t="inlineStr">
        <is>
          <t>PREDMET PONUDE</t>
        </is>
      </c>
    </row>
    <row r="14" ht="15" customHeight="1" s="33">
      <c r="A14" s="44" t="n"/>
      <c r="B14" s="44" t="inlineStr">
        <is>
          <t>Stavka</t>
        </is>
      </c>
      <c r="C14" s="44" t="inlineStr">
        <is>
          <t>Količina</t>
        </is>
      </c>
      <c r="D14" s="44" t="inlineStr">
        <is>
          <t>Cena</t>
        </is>
      </c>
      <c r="E14" s="44" t="inlineStr">
        <is>
          <t>Iznos</t>
        </is>
      </c>
      <c r="F14" s="44" t="inlineStr">
        <is>
          <t>Napomena</t>
        </is>
      </c>
    </row>
    <row r="15" ht="15" customHeight="1" s="33">
      <c r="A15" s="45" t="n">
        <v>1</v>
      </c>
      <c r="B15" s="46" t="inlineStr">
        <is>
          <t>AgriX Desktop all-in</t>
        </is>
      </c>
      <c r="C15" s="47" t="n">
        <v>1</v>
      </c>
      <c r="D15" s="48">
        <f>IFERROR(INDEX(Cenovnik!$B$5:$B$25,MATCH($B$15,Cenovnik!$A$5:$A$25,0)),0)</f>
        <v/>
      </c>
      <c r="E15" s="48">
        <f>C15*D15</f>
        <v/>
      </c>
      <c r="F15" s="49" t="inlineStr">
        <is>
          <t>jedno pravno lice, do 5 stanica</t>
        </is>
      </c>
    </row>
    <row r="16" ht="15" customHeight="1" s="33">
      <c r="A16" s="45" t="n">
        <v>2</v>
      </c>
      <c r="B16" s="50" t="inlineStr">
        <is>
          <t>Dodatne otkupne stanice</t>
        </is>
      </c>
      <c r="C16" s="47">
        <f>MAX(0,$F$16-5)</f>
        <v/>
      </c>
      <c r="D16" s="48">
        <f>INDEX(Cenovnik!$B$5:$B$25,MATCH("Stanica preko pet",Cenovnik!$A$5:$A$25,0))</f>
        <v/>
      </c>
      <c r="E16" s="48">
        <f>C16*D16</f>
        <v/>
      </c>
      <c r="F16" s="51" t="n">
        <v>10</v>
      </c>
    </row>
    <row r="17" ht="15" customHeight="1" s="33">
      <c r="F17" s="52" t="inlineStr">
        <is>
          <t>↑ upiši ukupan broj aktivnih stanica</t>
        </is>
      </c>
    </row>
    <row r="18" ht="15" customHeight="1" s="33">
      <c r="A18" s="45" t="n">
        <v>3</v>
      </c>
      <c r="B18" s="50" t="inlineStr">
        <is>
          <t>Modul Hladnjača / Proizvodnja</t>
        </is>
      </c>
      <c r="C18" s="51" t="n">
        <v>0</v>
      </c>
      <c r="D18" s="48">
        <f>INDEX(Cenovnik!$B$5:$B$25,MATCH("Modul Hladnjača / Proizvodnja",Cenovnik!$A$5:$A$25,0))</f>
        <v/>
      </c>
      <c r="E18" s="48">
        <f>C18*D18</f>
        <v/>
      </c>
      <c r="F18" s="49" t="inlineStr">
        <is>
          <t>po proizvodnom pogonu; dodatni pogon 200 € (412, 421)</t>
        </is>
      </c>
    </row>
    <row r="19" ht="15" customHeight="1" s="33">
      <c r="A19" s="45" t="n">
        <v>4</v>
      </c>
      <c r="B19" s="50" t="inlineStr">
        <is>
          <t>Modul SEF</t>
        </is>
      </c>
      <c r="C19" s="51" t="n">
        <v>0</v>
      </c>
      <c r="D19" s="48">
        <f>INDEX(Cenovnik!$B$5:$B$25,MATCH("Modul SEF",Cenovnik!$A$5:$A$25,0))</f>
        <v/>
      </c>
      <c r="E19" s="48">
        <f>C19*D19</f>
        <v/>
      </c>
      <c r="F19" s="49" t="inlineStr">
        <is>
          <t>0 = ne uzima, 1 = uzima</t>
        </is>
      </c>
    </row>
    <row r="20" ht="15" customHeight="1" s="33">
      <c r="A20" s="45" t="n">
        <v>5</v>
      </c>
      <c r="B20" s="50" t="inlineStr">
        <is>
          <t>Modul Banka</t>
        </is>
      </c>
      <c r="C20" s="51" t="n">
        <v>0</v>
      </c>
      <c r="D20" s="48">
        <f>INDEX(Cenovnik!$B$5:$B$25,MATCH("Modul Banka",Cenovnik!$A$5:$A$25,0))</f>
        <v/>
      </c>
      <c r="E20" s="48">
        <f>C20*D20</f>
        <v/>
      </c>
      <c r="F20" s="49" t="inlineStr">
        <is>
          <t>0 = ne uzima, 1 = uzima</t>
        </is>
      </c>
    </row>
    <row r="21" ht="15" customHeight="1" s="33">
      <c r="A21" s="45" t="n">
        <v>6</v>
      </c>
      <c r="B21" s="50" t="inlineStr">
        <is>
          <t>Modul Dispatch</t>
        </is>
      </c>
      <c r="C21" s="51" t="n">
        <v>0</v>
      </c>
      <c r="D21" s="48">
        <f>INDEX(Cenovnik!$B$5:$B$25,MATCH("Modul Dispatch",Cenovnik!$A$5:$A$25,0))</f>
        <v/>
      </c>
      <c r="E21" s="48">
        <f>C21*D21</f>
        <v/>
      </c>
      <c r="F21" s="49" t="inlineStr">
        <is>
          <t>zahteva Mobile paket</t>
        </is>
      </c>
    </row>
    <row r="22" ht="15" customHeight="1" s="33">
      <c r="A22" s="45" t="n">
        <v>7</v>
      </c>
      <c r="B22" s="50" t="inlineStr">
        <is>
          <t>Modul GGAP</t>
        </is>
      </c>
      <c r="C22" s="51" t="n">
        <v>0</v>
      </c>
      <c r="D22" s="48">
        <f>INDEX(Cenovnik!$B$5:$B$25,MATCH("Modul GGAP",Cenovnik!$A$5:$A$25,0))</f>
        <v/>
      </c>
      <c r="E22" s="48">
        <f>C22*D22</f>
        <v/>
      </c>
      <c r="F22" s="49" t="inlineStr">
        <is>
          <t>od 1.000 € — na upit, uz potvrdu obima, nije deo standardne ponude (417)</t>
        </is>
      </c>
    </row>
    <row r="23" ht="15" customHeight="1" s="33">
      <c r="A23" s="45" t="n">
        <v>8</v>
      </c>
      <c r="B23" s="50" t="inlineStr">
        <is>
          <t>Gazdinstvo Pro — nalozi kooperanata</t>
        </is>
      </c>
      <c r="C23" s="51" t="n">
        <v>0</v>
      </c>
      <c r="D23" s="48">
        <f>INDEX(Cenovnik!$B$5:$B$25,MATCH("Gazdinstvo Pro — kanalska cena",Cenovnik!$A$5:$A$25,0))</f>
        <v/>
      </c>
      <c r="E23" s="48">
        <f>C23*D23</f>
        <v/>
      </c>
      <c r="F23" s="49" t="inlineStr">
        <is>
          <t>kanalska cena, prvih 50 Basic bez naknade</t>
        </is>
      </c>
    </row>
    <row r="24" ht="15" customHeight="1" s="33">
      <c r="A24" s="45" t="n">
        <v>9</v>
      </c>
      <c r="B24" s="50" t="inlineStr">
        <is>
          <t>Hardverska podrška</t>
        </is>
      </c>
      <c r="C24" s="51" t="n">
        <v>0</v>
      </c>
      <c r="D24" s="48">
        <f>INDEX(Cenovnik!$B$5:$B$25,MATCH("Hardverska podrška — po stanici",Cenovnik!$A$5:$A$25,0))</f>
        <v/>
      </c>
      <c r="E24" s="48">
        <f>IF(C24=0,0,MAX(INDEX(Cenovnik!$B$5:$B$25,MATCH("Hardverska podrška — minimum",Cenovnik!$A$5:$A$25,0)),$F$16*D24))</f>
        <v/>
      </c>
      <c r="F24" s="49" t="inlineStr">
        <is>
          <t>0 ili 1; obračun po broju stanica, min. 200 €</t>
        </is>
      </c>
    </row>
    <row r="25"/>
    <row r="26" ht="19.7" customHeight="1" s="33">
      <c r="A26" s="53" t="n"/>
      <c r="B26" s="54" t="inlineStr">
        <is>
          <t>UKUPNO GODIŠNJE</t>
        </is>
      </c>
      <c r="C26" s="53" t="n"/>
      <c r="D26" s="53" t="n"/>
      <c r="E26" s="55">
        <f>SUM(E15:E24)</f>
        <v/>
      </c>
      <c r="F26" s="53" t="n"/>
    </row>
    <row r="27" ht="15" customHeight="1" s="33">
      <c r="B27" s="52" t="inlineStr">
        <is>
          <t>Kurs za informativni preračun</t>
        </is>
      </c>
      <c r="C27" s="56" t="n">
        <v>117</v>
      </c>
      <c r="E27" s="57">
        <f>E26*C27</f>
        <v/>
      </c>
      <c r="F27" s="52" t="inlineStr">
        <is>
          <t>informativno; plaća se po kursu na dan uplate</t>
        </is>
      </c>
    </row>
    <row r="28"/>
    <row r="29" ht="15" customHeight="1" s="33">
      <c r="A29" s="40" t="inlineStr">
        <is>
          <t>JEDNOKRATNE USLUGE</t>
        </is>
      </c>
    </row>
    <row r="30" ht="15" customHeight="1" s="33">
      <c r="A30" s="58" t="n"/>
      <c r="B30" s="58" t="inlineStr">
        <is>
          <t>Usluga</t>
        </is>
      </c>
      <c r="C30" s="58" t="inlineStr">
        <is>
          <t>Sati</t>
        </is>
      </c>
      <c r="D30" s="58" t="inlineStr">
        <is>
          <t>Cena</t>
        </is>
      </c>
      <c r="E30" s="58" t="inlineStr">
        <is>
          <t>Iznos</t>
        </is>
      </c>
      <c r="F30" s="58" t="inlineStr">
        <is>
          <t>Napomena</t>
        </is>
      </c>
    </row>
    <row r="31" ht="15" customHeight="1" s="33">
      <c r="A31" s="59" t="n"/>
      <c r="B31" s="50" t="inlineStr">
        <is>
          <t>Složena migracija podataka</t>
        </is>
      </c>
      <c r="C31" s="51" t="n">
        <v>0</v>
      </c>
      <c r="D31" s="48">
        <f>INDEX(Cenovnik!$B$5:$B$25,MATCH("Satnica — razvojna",Cenovnik!$A$5:$A$25,0))</f>
        <v/>
      </c>
      <c r="E31" s="48">
        <f>C31*D31</f>
        <v/>
      </c>
      <c r="F31" s="49" t="inlineStr">
        <is>
          <t>razvojna satnica 50 €/h (409)</t>
        </is>
      </c>
    </row>
    <row r="32" ht="15" customHeight="1" s="33">
      <c r="A32" s="59" t="n"/>
      <c r="B32" s="50" t="inlineStr">
        <is>
          <t>Dodatna obuka preko 5 sati</t>
        </is>
      </c>
      <c r="C32" s="51" t="n">
        <v>0</v>
      </c>
      <c r="D32" s="48">
        <f>INDEX(Cenovnik!$B$5:$B$25,MATCH("Satnica — implementaciona",Cenovnik!$A$5:$A$25,0))</f>
        <v/>
      </c>
      <c r="E32" s="48">
        <f>C32*D32</f>
        <v/>
      </c>
      <c r="F32" s="49" t="inlineStr">
        <is>
          <t>implementaciona satnica 30 €/h (409); 5 sati je ukljuceno u onboarding</t>
        </is>
      </c>
    </row>
    <row r="33" ht="15" customHeight="1" s="33">
      <c r="A33" s="59" t="n"/>
      <c r="B33" s="50" t="inlineStr">
        <is>
          <t>Razvoj po zahtevu</t>
        </is>
      </c>
      <c r="C33" s="51" t="n">
        <v>0</v>
      </c>
      <c r="D33" s="48">
        <f>INDEX(Cenovnik!$B$5:$B$25,MATCH("Satnica — razvojna",Cenovnik!$A$5:$A$25,0))</f>
        <v/>
      </c>
      <c r="E33" s="48">
        <f>C33*D33</f>
        <v/>
      </c>
      <c r="F33" s="49" t="inlineStr">
        <is>
          <t>razvojna satnica 50 €/h (409); uz procenu i maksimalni budzet</t>
        </is>
      </c>
    </row>
    <row r="34" ht="15" customHeight="1" s="33">
      <c r="A34" s="53" t="n"/>
      <c r="B34" s="54" t="inlineStr">
        <is>
          <t>Ukupno jednokratno</t>
        </is>
      </c>
      <c r="C34" s="53" t="n"/>
      <c r="D34" s="53" t="n"/>
      <c r="E34" s="60">
        <f>SUM(E31:E33)</f>
        <v/>
      </c>
      <c r="F34" s="53" t="n"/>
    </row>
    <row r="35"/>
    <row r="36" ht="15" customHeight="1" s="33">
      <c r="A36" s="40" t="inlineStr">
        <is>
          <t>UKLJUČENO U GODIŠNJU NAKNADU</t>
        </is>
      </c>
    </row>
    <row r="37" ht="15" customHeight="1" s="33">
      <c r="B37" s="41" t="inlineStr">
        <is>
          <t>·  Instalacija sistema i povezivanje svih komponenti</t>
        </is>
      </c>
    </row>
    <row r="38" ht="15" customHeight="1" s="33">
      <c r="B38" s="41" t="inlineStr">
        <is>
          <t>·  Implementaciona obuka u trajanju do 5 sati</t>
        </is>
      </c>
    </row>
    <row r="39" ht="15" customHeight="1" s="33">
      <c r="B39" s="41" t="inlineStr">
        <is>
          <t>·  Otklanjanje grešaka, bezbednosne ispravke i nove verzije</t>
        </is>
      </c>
    </row>
    <row r="40" ht="15" customHeight="1" s="33">
      <c r="B40" s="41" t="inlineStr">
        <is>
          <t>·  Prilagođavanje izmenama propisa — bez naplate</t>
        </is>
      </c>
    </row>
    <row r="41" ht="15" customHeight="1" s="33">
      <c r="B41" s="41" t="inlineStr">
        <is>
          <t>·  Podrška telefonom, mejlom i daljinskom dijagnostikom, radnim danima 08–16</t>
        </is>
      </c>
    </row>
    <row r="42" ht="15" customHeight="1" s="33">
      <c r="B42" s="41" t="inlineStr">
        <is>
          <t>·  Vikend podrška za kritične incidente tokom sezone, 1. jun — 30. novembar</t>
        </is>
      </c>
    </row>
    <row r="43"/>
    <row r="44" ht="15" customHeight="1" s="33">
      <c r="A44" s="40" t="inlineStr">
        <is>
          <t>USLOVI</t>
        </is>
      </c>
    </row>
    <row r="45" ht="15" customHeight="1" s="33">
      <c r="B45" s="41" t="inlineStr">
        <is>
          <t>·  Cene su iskazane u evrima, bez PDV-a, na godišnjem nivou.</t>
        </is>
      </c>
    </row>
    <row r="46" ht="15" customHeight="1" s="33">
      <c r="B46" s="41" t="inlineStr">
        <is>
          <t>·  Plaćanje se vrši u dinarima, po srednjem kursu NBS na dan uplate.</t>
        </is>
      </c>
    </row>
    <row r="47" ht="15" customHeight="1" s="33">
      <c r="B47" s="41" t="inlineStr">
        <is>
          <t>·  Ugovor se zaključuje na 12 meseci; naknada se plaća pre aktivacije.</t>
        </is>
      </c>
    </row>
    <row r="48" ht="15" customHeight="1" s="33">
      <c r="B48" s="41" t="inlineStr">
        <is>
          <t>·  Ponuda važi 30 dana od datuma izdavanja.</t>
        </is>
      </c>
    </row>
    <row r="49" ht="15" customHeight="1" s="33">
      <c r="B49" s="41" t="inlineStr">
        <is>
          <t>·  AgriX vodi operativni tok firme i povezuje se sa knjigovodstvom, ali ne zamenjuje računovodstveni ERP.</t>
        </is>
      </c>
    </row>
    <row r="50"/>
    <row r="51"/>
    <row r="52" ht="15" customHeight="1" s="33">
      <c r="B52" s="40" t="inlineStr">
        <is>
          <t>Sledeći korak: potvrda obima i dogovor termina uvođenja pre početka sezone.</t>
        </is>
      </c>
    </row>
    <row r="53"/>
    <row r="54"/>
    <row r="55" ht="15" customHeight="1" s="33">
      <c r="B55" s="41" t="inlineStr">
        <is>
          <t>_______________________</t>
        </is>
      </c>
      <c r="E55" s="41" t="inlineStr">
        <is>
          <t>_______________________</t>
        </is>
      </c>
    </row>
    <row r="56" ht="15" customHeight="1" s="33">
      <c r="B56" s="52" t="inlineStr">
        <is>
          <t>za AgriX</t>
        </is>
      </c>
      <c r="E56" s="52" t="inlineStr">
        <is>
          <t>za Korisnika</t>
        </is>
      </c>
    </row>
  </sheetData>
  <mergeCells count="5">
    <mergeCell ref="C9:F9"/>
    <mergeCell ref="C8:F8"/>
    <mergeCell ref="C7:F7"/>
    <mergeCell ref="C11:F11"/>
    <mergeCell ref="C10:F10"/>
  </mergeCells>
  <dataValidations count="1">
    <dataValidation sqref="B15" showDropDown="0" showInputMessage="0" showErrorMessage="0" allowBlank="0" type="list" errorStyle="stop" operator="between">
      <formula1>Cenovnik!$E$5:$E$8</formula1>
      <formula2>0</formula2>
    </dataValidation>
  </dataValidations>
  <printOptions horizontalCentered="0" verticalCentered="0" headings="0" gridLines="0" gridLinesSet="1"/>
  <pageMargins left="0.5" right="0.5" top="0.6" bottom="0.6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2" min="1" max="1"/>
    <col width="14" customWidth="1" style="32" min="2" max="2"/>
    <col width="30" customWidth="1" style="32" min="3" max="3"/>
    <col width="24" customWidth="1" style="32" min="5" max="5"/>
    <col width="8" customWidth="1" style="32" min="6" max="6"/>
  </cols>
  <sheetData>
    <row r="1" ht="16.15" customHeight="1" s="33">
      <c r="A1" s="61" t="inlineStr">
        <is>
          <t>Cenovnik — referentni list</t>
        </is>
      </c>
    </row>
    <row r="2" ht="15" customHeight="1" s="33">
      <c r="A2" s="52" t="inlineStr">
        <is>
          <t>Menja se samo kada se promeni odluka o ceni. Ponuda povlači vrednosti odavde.</t>
        </is>
      </c>
    </row>
    <row r="4" ht="15" customHeight="1" s="33">
      <c r="A4" s="62" t="inlineStr">
        <is>
          <t>Stavka</t>
        </is>
      </c>
      <c r="B4" s="62" t="inlineStr">
        <is>
          <t>Cena</t>
        </is>
      </c>
      <c r="C4" s="62" t="inlineStr">
        <is>
          <t>Izvor</t>
        </is>
      </c>
      <c r="E4" s="40" t="inlineStr">
        <is>
          <t>Paketi</t>
        </is>
      </c>
      <c r="F4" s="40" t="inlineStr">
        <is>
          <t>Da/Ne</t>
        </is>
      </c>
    </row>
    <row r="5" ht="15" customHeight="1" s="33">
      <c r="A5" s="50" t="inlineStr">
        <is>
          <t>AgriX Desktop</t>
        </is>
      </c>
      <c r="B5" s="48" t="n">
        <v>500</v>
      </c>
      <c r="C5" s="49" t="inlineStr">
        <is>
          <t>odluka 349</t>
        </is>
      </c>
      <c r="E5" s="41" t="inlineStr">
        <is>
          <t>AgriX Desktop</t>
        </is>
      </c>
      <c r="F5" s="32" t="inlineStr">
        <is>
          <t>Da</t>
        </is>
      </c>
    </row>
    <row r="6" ht="15" customHeight="1" s="33">
      <c r="A6" s="50" t="inlineStr">
        <is>
          <t>AgriX Desktop all-in</t>
        </is>
      </c>
      <c r="B6" s="48" t="n">
        <v>1200</v>
      </c>
      <c r="C6" s="49" t="inlineStr">
        <is>
          <t>odluka 349 (revizija 27.07.) — bazna + 700</t>
        </is>
      </c>
      <c r="E6" s="41" t="inlineStr">
        <is>
          <t>AgriX Desktop all-in</t>
        </is>
      </c>
      <c r="F6" s="32" t="inlineStr">
        <is>
          <t>Ne</t>
        </is>
      </c>
    </row>
    <row r="7" ht="15" customHeight="1" s="33">
      <c r="A7" s="50" t="inlineStr">
        <is>
          <t>AgriX Mobile</t>
        </is>
      </c>
      <c r="B7" s="48" t="n">
        <v>1500</v>
      </c>
      <c r="C7" s="49" t="inlineStr">
        <is>
          <t>odluka 349</t>
        </is>
      </c>
      <c r="E7" s="41" t="inlineStr">
        <is>
          <t>AgriX Mobile</t>
        </is>
      </c>
    </row>
    <row r="8" ht="15" customHeight="1" s="33">
      <c r="A8" s="50" t="inlineStr">
        <is>
          <t>AgriX Mobile all-in</t>
        </is>
      </c>
      <c r="B8" s="48" t="n">
        <v>2200</v>
      </c>
      <c r="C8" s="49" t="inlineStr">
        <is>
          <t>odluka 349 (revizija 27.07.) — bazna + 700</t>
        </is>
      </c>
      <c r="E8" s="41" t="inlineStr">
        <is>
          <t>AgriX Mobile all-in</t>
        </is>
      </c>
    </row>
    <row r="9" ht="15" customHeight="1" s="33">
      <c r="A9" s="50" t="inlineStr">
        <is>
          <t>Stanica preko pet</t>
        </is>
      </c>
      <c r="B9" s="48" t="n">
        <v>50</v>
      </c>
      <c r="C9" s="49" t="inlineStr">
        <is>
          <t>odluka 351</t>
        </is>
      </c>
    </row>
    <row r="10" ht="15" customHeight="1" s="33">
      <c r="A10" s="50" t="inlineStr">
        <is>
          <t>Modul SEF</t>
        </is>
      </c>
      <c r="B10" s="48" t="n">
        <v>200</v>
      </c>
      <c r="C10" s="49" t="inlineStr">
        <is>
          <t>odluka 350</t>
        </is>
      </c>
    </row>
    <row r="11" ht="15" customHeight="1" s="33">
      <c r="A11" s="50" t="inlineStr">
        <is>
          <t>Modul Banka</t>
        </is>
      </c>
      <c r="B11" s="48" t="n">
        <v>200</v>
      </c>
      <c r="C11" s="49" t="inlineStr">
        <is>
          <t>odluka 350</t>
        </is>
      </c>
    </row>
    <row r="12" ht="15" customHeight="1" s="33">
      <c r="A12" s="50" t="inlineStr">
        <is>
          <t>Modul Dispatch</t>
        </is>
      </c>
      <c r="B12" s="48" t="n">
        <v>200</v>
      </c>
      <c r="C12" s="49" t="inlineStr">
        <is>
          <t>odluka 350 — samo uz Mobile</t>
        </is>
      </c>
    </row>
    <row r="13" ht="15" customHeight="1" s="33">
      <c r="A13" s="50" t="inlineStr">
        <is>
          <t>Modul Hladnjača / Proizvodnja</t>
        </is>
      </c>
      <c r="B13" s="48" t="n">
        <v>400</v>
      </c>
      <c r="C13" s="49" t="inlineStr">
        <is>
          <t>odluka 412/421 — po proizvodnom pogonu</t>
        </is>
      </c>
    </row>
    <row r="14" ht="15" customHeight="1" s="33">
      <c r="A14" s="50" t="inlineStr">
        <is>
          <t>Modul GGAP</t>
        </is>
      </c>
      <c r="B14" s="48" t="n">
        <v>1000</v>
      </c>
      <c r="C14" s="49" t="inlineStr">
        <is>
          <t>odluka 352/417 — od; na upit, uz potvrdu obima, nije deo standardne ponude</t>
        </is>
      </c>
    </row>
    <row r="15" ht="15" customHeight="1" s="33">
      <c r="A15" s="50" t="inlineStr">
        <is>
          <t>Gazdinstvo Pro — kanalska cena</t>
        </is>
      </c>
      <c r="B15" s="48" t="n">
        <v>20</v>
      </c>
      <c r="C15" s="49" t="inlineStr">
        <is>
          <t>odluka 339</t>
        </is>
      </c>
    </row>
    <row r="16" ht="15" customHeight="1" s="33">
      <c r="A16" s="50" t="inlineStr">
        <is>
          <t>Hardverska podrška — po stanici</t>
        </is>
      </c>
      <c r="B16" s="48" t="n">
        <v>40</v>
      </c>
      <c r="C16" s="49" t="inlineStr">
        <is>
          <t>odluka 357</t>
        </is>
      </c>
    </row>
    <row r="17" ht="15" customHeight="1" s="33">
      <c r="A17" s="50" t="inlineStr">
        <is>
          <t>Hardverska podrška — minimum</t>
        </is>
      </c>
      <c r="B17" s="48" t="n">
        <v>200</v>
      </c>
      <c r="C17" s="49" t="inlineStr">
        <is>
          <t>odluka 357</t>
        </is>
      </c>
    </row>
    <row r="18" ht="15" customHeight="1" s="33">
      <c r="A18" s="50" t="inlineStr">
        <is>
          <t>Satnica — razvojna</t>
        </is>
      </c>
      <c r="B18" s="48" t="n">
        <v>50</v>
      </c>
      <c r="C18" s="49" t="inlineStr">
        <is>
          <t>odluka 409 — razvoj, migracija, adapteri, izvestaji, masovne korekcije</t>
        </is>
      </c>
    </row>
    <row r="19" ht="15" customHeight="1" s="33">
      <c r="A19" s="50" t="inlineStr">
        <is>
          <t>Satnica — implementaciona</t>
        </is>
      </c>
      <c r="B19" s="48" t="n">
        <v>30</v>
      </c>
      <c r="C19" s="49" t="inlineStr">
        <is>
          <t>odluka 409 — obuka preko 5h, konfiguracija, ciscenje, IT setup, teren</t>
        </is>
      </c>
    </row>
    <row r="20">
      <c r="A20" s="50" t="inlineStr">
        <is>
          <t>Modul Hladnjača / Proizvodnja — dodatni pogon</t>
        </is>
      </c>
      <c r="B20" s="48" t="n">
        <v>200</v>
      </c>
      <c r="C20" s="49" t="inlineStr">
        <is>
          <t>odluka 413 — -50% na dodatnoj instanci</t>
        </is>
      </c>
    </row>
    <row r="21">
      <c r="A21" s="50" t="inlineStr">
        <is>
          <t>Gazdinstvo Basic — kanalska cena</t>
        </is>
      </c>
      <c r="B21" s="48" t="n">
        <v>10</v>
      </c>
      <c r="C21" s="49" t="inlineStr">
        <is>
          <t>odluka 339</t>
        </is>
      </c>
    </row>
    <row r="22">
      <c r="A22" s="50" t="inlineStr">
        <is>
          <t>Savetnik — standalone osnovica [u pripremi]</t>
        </is>
      </c>
      <c r="B22" s="48" t="n">
        <v>150</v>
      </c>
      <c r="C22" s="49" t="inlineStr">
        <is>
          <t>odluka 419 — do 10 gazdinstava — U PRIPREMI (odluka 423): ne uvrstavati u ponudu</t>
        </is>
      </c>
    </row>
    <row r="23">
      <c r="A23" s="50" t="inlineStr">
        <is>
          <t>Savetnik — standalone po gazdinstvu [u pripremi]</t>
        </is>
      </c>
      <c r="B23" s="48" t="n">
        <v>15</v>
      </c>
      <c r="C23" s="49" t="inlineStr">
        <is>
          <t>odluka 419 — preko 10 — U PRIPREMI (odluka 423): ne uvrstavati u ponudu</t>
        </is>
      </c>
    </row>
    <row r="24">
      <c r="A24" s="50" t="inlineStr">
        <is>
          <t>Savetnik — Enterprise osnovica [u pripremi]</t>
        </is>
      </c>
      <c r="B24" s="48" t="n">
        <v>100</v>
      </c>
      <c r="C24" s="49" t="inlineStr">
        <is>
          <t>odluka 419 — uz aktivan Enterprise ugovor — U PRIPREMI (odluka 423): ne uvrstavati u ponudu</t>
        </is>
      </c>
    </row>
    <row r="25">
      <c r="A25" s="50" t="inlineStr">
        <is>
          <t>Savetnik — Enterprise po gazdinstvu [u pripremi]</t>
        </is>
      </c>
      <c r="B25" s="48" t="n">
        <v>10</v>
      </c>
      <c r="C25" s="49" t="inlineStr">
        <is>
          <t>odluka 419 — preko 10 — U PRIPREMI (odluka 423): ne uvrstavati u ponudu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32" min="1" max="1"/>
  </cols>
  <sheetData>
    <row r="1" ht="16.15" customHeight="1" s="33">
      <c r="A1" s="61" t="inlineStr">
        <is>
          <t>Kako se koristi</t>
        </is>
      </c>
    </row>
    <row r="2"/>
    <row r="3" ht="15" customHeight="1" s="33">
      <c r="A3" s="63" t="n"/>
    </row>
    <row r="4" ht="15" customHeight="1" s="33">
      <c r="A4" s="63" t="inlineStr">
        <is>
          <t>Popuni samo žuta polja. Sve ostalo se računa.</t>
        </is>
      </c>
    </row>
    <row r="5" ht="15" customHeight="1" s="33">
      <c r="A5" s="63" t="n"/>
    </row>
    <row r="6" ht="15" customHeight="1" s="33">
      <c r="A6" s="63" t="inlineStr">
        <is>
          <t xml:space="preserve">   1.  Broj i datum ponude gore desno.</t>
        </is>
      </c>
    </row>
    <row r="7" ht="15" customHeight="1" s="33">
      <c r="A7" s="63" t="inlineStr">
        <is>
          <t xml:space="preserve">   2.  Podatke o korisniku.</t>
        </is>
      </c>
    </row>
    <row r="8" ht="15" customHeight="1" s="33">
      <c r="A8" s="63" t="inlineStr">
        <is>
          <t xml:space="preserve">   3.  Paket — biraj iz padajuće liste u koloni Stavka.</t>
        </is>
      </c>
    </row>
    <row r="9" ht="15" customHeight="1" s="33">
      <c r="A9" s="63" t="inlineStr">
        <is>
          <t xml:space="preserve">   4.  Ukupan broj aktivnih stanica u koloni Napomena kod stavke 2. Model sam oduzima pet uključenih.</t>
        </is>
      </c>
    </row>
    <row r="10" ht="15" customHeight="1" s="33">
      <c r="A10" s="63" t="inlineStr">
        <is>
          <t xml:space="preserve">   5.  Module — upiši 1 ako klijent uzima, 0 ako ne.</t>
        </is>
      </c>
    </row>
    <row r="11" ht="15" customHeight="1" s="33">
      <c r="A11" s="63" t="inlineStr">
        <is>
          <t xml:space="preserve">   6.  Broj Gazdinstvo Pro naloga koje hladnjača finansira.</t>
        </is>
      </c>
    </row>
    <row r="12" ht="15" customHeight="1" s="33">
      <c r="A12" s="63" t="inlineStr">
        <is>
          <t xml:space="preserve">   7.  Hardverska podrška — 1 ili 0; obračun ide po broju stanica sa minimumom od 200 €.</t>
        </is>
      </c>
    </row>
    <row r="13" ht="15" customHeight="1" s="33">
      <c r="A13" s="63" t="inlineStr">
        <is>
          <t xml:space="preserve">   8.  Jednokratne usluge u satima, ako ih ima.</t>
        </is>
      </c>
    </row>
    <row r="14" ht="15" customHeight="1" s="33">
      <c r="A14" s="63" t="inlineStr">
        <is>
          <t xml:space="preserve">   9.  Kurs za informativni preračun u dinare.</t>
        </is>
      </c>
    </row>
    <row r="15" ht="15" customHeight="1" s="33">
      <c r="A15" s="63" t="n"/>
    </row>
    <row r="16" ht="15" customHeight="1" s="33">
      <c r="A16" s="63" t="inlineStr">
        <is>
          <t>Štampa: list Ponuda je podešen za A4, jedna strana po širini. Sačuvaj kao PDF i pošalji.</t>
        </is>
      </c>
    </row>
    <row r="17" ht="15" customHeight="1" s="33">
      <c r="A17" s="63" t="n"/>
    </row>
    <row r="18" ht="15" customHeight="1" s="33">
      <c r="A18" s="64" t="inlineStr">
        <is>
          <t>Napomene</t>
        </is>
      </c>
    </row>
    <row r="19" ht="15" customHeight="1" s="33">
      <c r="A19" s="63" t="inlineStr">
        <is>
          <t>·  Dispatch se nudi samo uz Mobile paket (odluka 293). Desktop all-in NE sadrži Dispatch (odluka 415).
·  AgriX Savetnik je u pripremi (odluka 423) — ne uvrstava se u ponudu dok proizvod ne bude stabilan.</t>
        </is>
      </c>
    </row>
    <row r="20" ht="15" customHeight="1" s="33">
      <c r="A20" s="63" t="inlineStr">
        <is>
          <t>·  GGAP se sme prikazati samo uz oznaku „na upit, uz potvrdu obima — nije deo standardne ponude" (odluka 417).</t>
        </is>
      </c>
    </row>
    <row r="21" ht="15" customHeight="1" s="33">
      <c r="A21" s="63" t="inlineStr">
        <is>
          <t>·  Hardverska podrška je potvrđena odlukom 357 — 40 € po stanici, minimum 200 €.</t>
        </is>
      </c>
    </row>
    <row r="22" ht="15" customHeight="1" s="33">
      <c r="A22" s="63" t="inlineStr">
        <is>
          <t xml:space="preserve">   ·  Cene menjaj isključivo na listu Cenovnik, nikada u ponudi.</t>
        </is>
      </c>
    </row>
    <row r="23" ht="15" customHeight="1" s="33">
      <c r="A23" s="63" t="n"/>
    </row>
    <row r="24" ht="15" customHeight="1" s="33">
      <c r="A24" s="63" t="inlineStr">
        <is>
          <t>Izvor cena: odluke 339, 341, 349, 350, 351, 352, 353, 354, 357, 409–422.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2026-07-26T20:43:34Z</dcterms:created>
  <dcterms:modified xsi:type="dcterms:W3CDTF">2026-07-28T19:52:37Z</dcterms:modified>
  <cp:revision>0</cp:revision>
</cp:coreProperties>
</file>