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nuda" sheetId="1" state="visible" r:id="rId3"/>
    <sheet name="Cenovnik" sheetId="2" state="visible" r:id="rId4"/>
    <sheet name="Uputstvo" sheetId="3" state="visible" r:id="rId5"/>
  </sheets>
  <definedNames>
    <definedName function="false" hidden="false" localSheetId="0" name="_xlnm.Print_Area" vbProcedure="false">Ponuda!$A$1:$F$62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<sst xmlns="http://schemas.openxmlformats.org/spreadsheetml/2006/main" count="132" uniqueCount="108">
  <si>
    <t xml:space="preserve">AgriX</t>
  </si>
  <si>
    <t xml:space="preserve">PONUDA</t>
  </si>
  <si>
    <t xml:space="preserve">Softver za otkup i hladnjače</t>
  </si>
  <si>
    <t xml:space="preserve">broj:</t>
  </si>
  <si>
    <t xml:space="preserve">P-2026-___</t>
  </si>
  <si>
    <t xml:space="preserve">datum:</t>
  </si>
  <si>
    <t xml:space="preserve">__.__.2026.</t>
  </si>
  <si>
    <t xml:space="preserve">PODACI O KORISNIKU</t>
  </si>
  <si>
    <t xml:space="preserve">Poslovno ime</t>
  </si>
  <si>
    <t xml:space="preserve">Adresa</t>
  </si>
  <si>
    <t xml:space="preserve">PIB / matični broj</t>
  </si>
  <si>
    <t xml:space="preserve">Kontakt osoba</t>
  </si>
  <si>
    <t xml:space="preserve">Telefon i email</t>
  </si>
  <si>
    <t xml:space="preserve">PREDMET PONUDE</t>
  </si>
  <si>
    <t xml:space="preserve">Stavka</t>
  </si>
  <si>
    <t xml:space="preserve">Količina</t>
  </si>
  <si>
    <t xml:space="preserve">Cena</t>
  </si>
  <si>
    <t xml:space="preserve">Iznos</t>
  </si>
  <si>
    <t xml:space="preserve">Napomena</t>
  </si>
  <si>
    <t xml:space="preserve">AgriX Desktop all-in</t>
  </si>
  <si>
    <t xml:space="preserve">jedno pravno lice, do 5 stanica</t>
  </si>
  <si>
    <t xml:space="preserve">Dodatne otkupne stanice</t>
  </si>
  <si>
    <t xml:space="preserve">↑ upiši ukupan broj aktivnih stanica</t>
  </si>
  <si>
    <t xml:space="preserve">Modul Hladnjača / Proizvodnja</t>
  </si>
  <si>
    <t xml:space="preserve">0 = ne uzima, 1 = uzima</t>
  </si>
  <si>
    <t xml:space="preserve">Modul SEF</t>
  </si>
  <si>
    <t xml:space="preserve">Modul Banka</t>
  </si>
  <si>
    <t xml:space="preserve">Modul Dispatch</t>
  </si>
  <si>
    <t xml:space="preserve">zahteva Mobile paket</t>
  </si>
  <si>
    <t xml:space="preserve">Modul GGAP</t>
  </si>
  <si>
    <t xml:space="preserve">od 1.000 €, potvrditi obim</t>
  </si>
  <si>
    <t xml:space="preserve">Gazdinstvo Pro — nalozi kooperanata</t>
  </si>
  <si>
    <t xml:space="preserve">kanalska cena, prvih 50 Basic bez naknade</t>
  </si>
  <si>
    <t xml:space="preserve">Hardverska podrška</t>
  </si>
  <si>
    <t xml:space="preserve">0 ili 1; obračun po broju stanica, min. 200 €</t>
  </si>
  <si>
    <t xml:space="preserve">UKUPNO GODIŠNJE</t>
  </si>
  <si>
    <t xml:space="preserve">Kurs za informativni preračun</t>
  </si>
  <si>
    <t xml:space="preserve">informativno; plaća se po kursu na dan uplate</t>
  </si>
  <si>
    <t xml:space="preserve">JEDNOKRATNE USLUGE</t>
  </si>
  <si>
    <t xml:space="preserve">Usluga</t>
  </si>
  <si>
    <t xml:space="preserve">Sati</t>
  </si>
  <si>
    <t xml:space="preserve">Složena migracija podataka</t>
  </si>
  <si>
    <t xml:space="preserve">istorijski dokumenti, salda, kartice</t>
  </si>
  <si>
    <t xml:space="preserve">Dodatna obuka preko 5 sati</t>
  </si>
  <si>
    <t xml:space="preserve">5 sati je uključeno u onboarding</t>
  </si>
  <si>
    <t xml:space="preserve">Razvoj po zahtevu</t>
  </si>
  <si>
    <t xml:space="preserve">uz procenu i maksimalni budžet</t>
  </si>
  <si>
    <t xml:space="preserve">Ukupno jednokratno</t>
  </si>
  <si>
    <t xml:space="preserve">UKLJUČENO U GODIŠNJU NAKNADU</t>
  </si>
  <si>
    <t xml:space="preserve">·  Instalacija sistema i povezivanje svih komponenti</t>
  </si>
  <si>
    <t xml:space="preserve">·  Implementaciona obuka u trajanju do 5 sati</t>
  </si>
  <si>
    <t xml:space="preserve">·  Otklanjanje grešaka, bezbednosne ispravke i nove verzije</t>
  </si>
  <si>
    <t xml:space="preserve">·  Prilagođavanje izmenama propisa — bez naplate</t>
  </si>
  <si>
    <t xml:space="preserve">·  Podrška telefonom, mejlom i daljinskom dijagnostikom, radnim danima 08–16</t>
  </si>
  <si>
    <t xml:space="preserve">·  Vikend podrška za kritične incidente tokom sezone, 1. jun — 30. novembar</t>
  </si>
  <si>
    <t xml:space="preserve">USLOVI</t>
  </si>
  <si>
    <t xml:space="preserve">·  Cene su iskazane u evrima, bez PDV-a, na godišnjem nivou.</t>
  </si>
  <si>
    <t xml:space="preserve">·  Plaćanje se vrši u dinarima, po srednjem kursu NBS na dan uplate.</t>
  </si>
  <si>
    <t xml:space="preserve">·  Ugovor se zaključuje na 12 meseci; naknada se plaća pre aktivacije.</t>
  </si>
  <si>
    <t xml:space="preserve">·  Ponuda važi 30 dana od datuma izdavanja.</t>
  </si>
  <si>
    <t xml:space="preserve">·  AgriX vodi operativni tok firme i povezuje se sa knjigovodstvom, ali ne zamenjuje računovodstveni ERP.</t>
  </si>
  <si>
    <t xml:space="preserve">Sledeći korak: potvrda obima i dogovor termina uvođenja pre početka sezone.</t>
  </si>
  <si>
    <t xml:space="preserve">_______________________</t>
  </si>
  <si>
    <t xml:space="preserve">za AgriX</t>
  </si>
  <si>
    <t xml:space="preserve">za Korisnika</t>
  </si>
  <si>
    <t xml:space="preserve">Cenovnik — referentni list</t>
  </si>
  <si>
    <t xml:space="preserve">Menja se samo kada se promeni odluka o ceni. Ponuda povlači vrednosti odavde.</t>
  </si>
  <si>
    <t xml:space="preserve">Izvor</t>
  </si>
  <si>
    <t xml:space="preserve">Paketi</t>
  </si>
  <si>
    <t xml:space="preserve">Da/Ne</t>
  </si>
  <si>
    <t xml:space="preserve">AgriX Desktop</t>
  </si>
  <si>
    <t xml:space="preserve">odluka 349</t>
  </si>
  <si>
    <t xml:space="preserve">Da</t>
  </si>
  <si>
    <t xml:space="preserve">Ne</t>
  </si>
  <si>
    <t xml:space="preserve">AgriX Mobile</t>
  </si>
  <si>
    <t xml:space="preserve">AgriX Mobile all-in</t>
  </si>
  <si>
    <t xml:space="preserve">Stanica preko pet</t>
  </si>
  <si>
    <t xml:space="preserve">odluka 351</t>
  </si>
  <si>
    <t xml:space="preserve">odluka 350</t>
  </si>
  <si>
    <t xml:space="preserve">odluka 350 — samo uz Mobile</t>
  </si>
  <si>
    <t xml:space="preserve">odluka 352 — od</t>
  </si>
  <si>
    <t xml:space="preserve">Gazdinstvo Pro — kanalska cena</t>
  </si>
  <si>
    <t xml:space="preserve">odluka 339</t>
  </si>
  <si>
    <t xml:space="preserve">Hardverska podrška — po stanici</t>
  </si>
  <si>
    <t xml:space="preserve">odluka 357</t>
  </si>
  <si>
    <t xml:space="preserve">Hardverska podrška — minimum</t>
  </si>
  <si>
    <t xml:space="preserve">Satnica — razvoj i migracija</t>
  </si>
  <si>
    <t xml:space="preserve">odluka 353</t>
  </si>
  <si>
    <t xml:space="preserve">Satnica — obuka preko 5 sati</t>
  </si>
  <si>
    <t xml:space="preserve">odluka 354</t>
  </si>
  <si>
    <t xml:space="preserve">Kako se koristi</t>
  </si>
  <si>
    <t xml:space="preserve">Popuni samo žuta polja. Sve ostalo se računa.</t>
  </si>
  <si>
    <t xml:space="preserve">   1.  Broj i datum ponude gore desno.</t>
  </si>
  <si>
    <t xml:space="preserve">   2.  Podatke o korisniku.</t>
  </si>
  <si>
    <t xml:space="preserve">   3.  Paket — biraj iz padajuće liste u koloni Stavka.</t>
  </si>
  <si>
    <t xml:space="preserve">   4.  Ukupan broj aktivnih stanica u koloni Napomena kod stavke 2. Model sam oduzima pet uključenih.</t>
  </si>
  <si>
    <t xml:space="preserve">   5.  Module — upiši 1 ako klijent uzima, 0 ako ne.</t>
  </si>
  <si>
    <t xml:space="preserve">   6.  Broj Gazdinstvo Pro naloga koje hladnjača finansira.</t>
  </si>
  <si>
    <t xml:space="preserve">   7.  Hardverska podrška — 1 ili 0; obračun ide po broju stanica sa minimumom od 200 €.</t>
  </si>
  <si>
    <t xml:space="preserve">   8.  Jednokratne usluge u satima, ako ih ima.</t>
  </si>
  <si>
    <t xml:space="preserve">   9.  Kurs za informativni preračun u dinare.</t>
  </si>
  <si>
    <t xml:space="preserve">Štampa: list Ponuda je podešen za A4, jedna strana po širini. Sačuvaj kao PDF i pošalji.</t>
  </si>
  <si>
    <t xml:space="preserve">Napomene</t>
  </si>
  <si>
    <t xml:space="preserve">   ·  Dispatch se nudi samo uz Mobile paket (odluka 293).</t>
  </si>
  <si>
    <t xml:space="preserve">   ·  GGAP je 'od 1.000 €' — potvrdi obim pre slanja.</t>
  </si>
  <si>
    <t xml:space="preserve">   ·  Hardverska podrška je predlog cene i još nije potvrđena odlukom.</t>
  </si>
  <si>
    <t xml:space="preserve">   ·  Cene menjaj isključivo na listu Cenovnik, nikada u ponudi.</t>
  </si>
  <si>
    <t xml:space="preserve">Izvor cena: odluke 339, 349, 350, 351, 352, 353, 354, 357.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</si>
</sst>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€&quot;;\(#,##0&quot; €)&quot;;\-"/>
    <numFmt numFmtId="166" formatCode="#,##0&quot; RSD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E2D14"/>
      <name val="Arial"/>
      <family val="0"/>
      <charset val="1"/>
    </font>
    <font>
      <b val="true"/>
      <sz val="16"/>
      <color rgb="FF1E2D14"/>
      <name val="Arial"/>
      <family val="0"/>
      <charset val="1"/>
    </font>
    <font>
      <sz val="10"/>
      <color rgb="FFC8A84B"/>
      <name val="Arial"/>
      <family val="0"/>
      <charset val="1"/>
    </font>
    <font>
      <sz val="8"/>
      <color rgb="FF7A856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E2D1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E2D1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1E2D14"/>
        <bgColor rgb="FF333333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8A84B"/>
      </bottom>
      <diagonal/>
    </border>
    <border diagonalUp="false" diagonalDown="false">
      <left style="thin">
        <color rgb="FFD8D2C2"/>
      </left>
      <right/>
      <top style="thin">
        <color rgb="FFD8D2C2"/>
      </top>
      <bottom style="thin">
        <color rgb="FFD8D2C2"/>
      </bottom>
      <diagonal/>
    </border>
    <border diagonalUp="false" diagonalDown="false">
      <left style="thin">
        <color rgb="FFD8D2C2"/>
      </left>
      <right style="thin">
        <color rgb="FFD8D2C2"/>
      </right>
      <top style="thin">
        <color rgb="FFD8D2C2"/>
      </top>
      <bottom style="thin">
        <color rgb="FFD8D2C2"/>
      </bottom>
      <diagonal/>
    </border>
    <border diagonalUp="false" diagonalDown="false">
      <left/>
      <right/>
      <top style="medium">
        <color rgb="FF1E2D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2"/>
      <rgbColor rgb="FF7A856E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8A84B"/>
      <rgbColor rgb="FF003366"/>
      <rgbColor rgb="FF339966"/>
      <rgbColor rgb="FF003300"/>
      <rgbColor rgb="FF1E2D14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26"/>
  </cols>
  <sheetData>
    <row r="1" customFormat="false" ht="24.45" hidden="false" customHeight="false" outlineLevel="0" collapsed="false">
      <c r="A1" s="1" t="s">
        <v>0</v>
      </c>
      <c r="E1" s="2" t="s">
        <v>1</v>
      </c>
    </row>
    <row r="2" customFormat="false" ht="15" hidden="false" customHeight="false" outlineLevel="0" collapsed="false">
      <c r="A2" s="3" t="s">
        <v>2</v>
      </c>
      <c r="E2" s="4" t="s">
        <v>3</v>
      </c>
      <c r="F2" s="5" t="s">
        <v>4</v>
      </c>
    </row>
    <row r="3" customFormat="false" ht="15" hidden="false" customHeight="false" outlineLevel="0" collapsed="false">
      <c r="E3" s="4" t="s">
        <v>5</v>
      </c>
      <c r="F3" s="5" t="s">
        <v>6</v>
      </c>
    </row>
    <row r="4" customFormat="false" ht="15" hidden="false" customHeight="false" outlineLevel="0" collapsed="false">
      <c r="A4" s="6"/>
      <c r="B4" s="6"/>
      <c r="C4" s="6"/>
      <c r="D4" s="6"/>
      <c r="E4" s="6"/>
      <c r="F4" s="6"/>
    </row>
    <row r="6" customFormat="false" ht="15" hidden="false" customHeight="false" outlineLevel="0" collapsed="false">
      <c r="A6" s="7" t="s">
        <v>7</v>
      </c>
    </row>
    <row r="7" customFormat="false" ht="15" hidden="false" customHeight="false" outlineLevel="0" collapsed="false">
      <c r="A7" s="8" t="s">
        <v>8</v>
      </c>
      <c r="C7" s="9"/>
      <c r="D7" s="9"/>
      <c r="E7" s="9"/>
      <c r="F7" s="9"/>
    </row>
    <row r="8" customFormat="false" ht="15" hidden="false" customHeight="false" outlineLevel="0" collapsed="false">
      <c r="A8" s="8" t="s">
        <v>9</v>
      </c>
      <c r="C8" s="9"/>
      <c r="D8" s="9"/>
      <c r="E8" s="9"/>
      <c r="F8" s="9"/>
    </row>
    <row r="9" customFormat="false" ht="15" hidden="false" customHeight="false" outlineLevel="0" collapsed="false">
      <c r="A9" s="8" t="s">
        <v>10</v>
      </c>
      <c r="C9" s="9"/>
      <c r="D9" s="9"/>
      <c r="E9" s="9"/>
      <c r="F9" s="9"/>
    </row>
    <row r="10" customFormat="false" ht="15" hidden="false" customHeight="false" outlineLevel="0" collapsed="false">
      <c r="A10" s="8" t="s">
        <v>11</v>
      </c>
      <c r="C10" s="9"/>
      <c r="D10" s="9"/>
      <c r="E10" s="9"/>
      <c r="F10" s="9"/>
    </row>
    <row r="11" customFormat="false" ht="15" hidden="false" customHeight="false" outlineLevel="0" collapsed="false">
      <c r="A11" s="8" t="s">
        <v>12</v>
      </c>
      <c r="C11" s="9"/>
      <c r="D11" s="9"/>
      <c r="E11" s="9"/>
      <c r="F11" s="9"/>
    </row>
    <row r="13" customFormat="false" ht="15" hidden="false" customHeight="false" outlineLevel="0" collapsed="false">
      <c r="A13" s="7" t="s">
        <v>13</v>
      </c>
    </row>
    <row r="14" customFormat="false" ht="15" hidden="false" customHeight="false" outlineLevel="0" collapsed="false">
      <c r="A14" s="10"/>
      <c r="B14" s="10" t="s">
        <v>14</v>
      </c>
      <c r="C14" s="10" t="s">
        <v>15</v>
      </c>
      <c r="D14" s="10" t="s">
        <v>16</v>
      </c>
      <c r="E14" s="10" t="s">
        <v>17</v>
      </c>
      <c r="F14" s="10" t="s">
        <v>18</v>
      </c>
    </row>
    <row r="15" customFormat="false" ht="15" hidden="false" customHeight="false" outlineLevel="0" collapsed="false">
      <c r="A15" s="11" t="n">
        <v>1</v>
      </c>
      <c r="B15" s="12" t="s">
        <v>19</v>
      </c>
      <c r="C15" s="13" t="n">
        <v>1</v>
      </c>
      <c r="D15" s="14" t="n">
        <f aca="false">IFERROR(INDEX(Cenovnik!$B$5:$B$19,MATCH($B$15,Cenovnik!$A$5:$A$19,0)),0)</f>
        <v>1100</v>
      </c>
      <c r="E15" s="14" t="n">
        <f aca="false">C15*D15</f>
        <v>1100</v>
      </c>
      <c r="F15" s="15" t="s">
        <v>20</v>
      </c>
    </row>
    <row r="16" customFormat="false" ht="15" hidden="false" customHeight="false" outlineLevel="0" collapsed="false">
      <c r="A16" s="11" t="n">
        <v>2</v>
      </c>
      <c r="B16" s="16" t="s">
        <v>21</v>
      </c>
      <c r="C16" s="13" t="n">
        <f aca="false">MAX(0,$F$16-5)</f>
        <v>5</v>
      </c>
      <c r="D16" s="14" t="n">
        <f aca="false">INDEX(Cenovnik!$B$5:$B$19,MATCH("Stanica preko pet",Cenovnik!$A$5:$A$19,0))</f>
        <v>50</v>
      </c>
      <c r="E16" s="14" t="n">
        <f aca="false">C16*D16</f>
        <v>250</v>
      </c>
      <c r="F16" s="17" t="n">
        <v>10</v>
      </c>
    </row>
    <row r="17" customFormat="false" ht="15" hidden="false" customHeight="false" outlineLevel="0" collapsed="false">
      <c r="F17" s="18" t="s">
        <v>22</v>
      </c>
    </row>
    <row r="18" customFormat="false" ht="15" hidden="false" customHeight="false" outlineLevel="0" collapsed="false">
      <c r="A18" s="11" t="n">
        <v>3</v>
      </c>
      <c r="B18" s="16" t="s">
        <v>23</v>
      </c>
      <c r="C18" s="17" t="n">
        <v>0</v>
      </c>
      <c r="D18" s="14" t="n">
        <f aca="false">INDEX(Cenovnik!$B$5:$B$19,MATCH("Modul Hladnjača / Proizvodnja",Cenovnik!$A$5:$A$19,0))</f>
        <v>400</v>
      </c>
      <c r="E18" s="14" t="n">
        <f aca="false">C18*D18</f>
        <v>0</v>
      </c>
      <c r="F18" s="15" t="s">
        <v>24</v>
      </c>
    </row>
    <row r="19" customFormat="false" ht="15" hidden="false" customHeight="false" outlineLevel="0" collapsed="false">
      <c r="A19" s="11" t="n">
        <v>4</v>
      </c>
      <c r="B19" s="16" t="s">
        <v>25</v>
      </c>
      <c r="C19" s="17" t="n">
        <v>0</v>
      </c>
      <c r="D19" s="14" t="n">
        <f aca="false">INDEX(Cenovnik!$B$5:$B$19,MATCH("Modul SEF",Cenovnik!$A$5:$A$19,0))</f>
        <v>200</v>
      </c>
      <c r="E19" s="14" t="n">
        <f aca="false">C19*D19</f>
        <v>0</v>
      </c>
      <c r="F19" s="15" t="s">
        <v>24</v>
      </c>
    </row>
    <row r="20" customFormat="false" ht="15" hidden="false" customHeight="false" outlineLevel="0" collapsed="false">
      <c r="A20" s="11" t="n">
        <v>5</v>
      </c>
      <c r="B20" s="16" t="s">
        <v>26</v>
      </c>
      <c r="C20" s="17" t="n">
        <v>0</v>
      </c>
      <c r="D20" s="14" t="n">
        <f aca="false">INDEX(Cenovnik!$B$5:$B$19,MATCH("Modul Banka",Cenovnik!$A$5:$A$19,0))</f>
        <v>200</v>
      </c>
      <c r="E20" s="14" t="n">
        <f aca="false">C20*D20</f>
        <v>0</v>
      </c>
      <c r="F20" s="15" t="s">
        <v>24</v>
      </c>
    </row>
    <row r="21" customFormat="false" ht="15" hidden="false" customHeight="false" outlineLevel="0" collapsed="false">
      <c r="A21" s="11" t="n">
        <v>6</v>
      </c>
      <c r="B21" s="16" t="s">
        <v>27</v>
      </c>
      <c r="C21" s="17" t="n">
        <v>0</v>
      </c>
      <c r="D21" s="14" t="n">
        <f aca="false">INDEX(Cenovnik!$B$5:$B$19,MATCH("Modul Dispatch",Cenovnik!$A$5:$A$19,0))</f>
        <v>200</v>
      </c>
      <c r="E21" s="14" t="n">
        <f aca="false">C21*D21</f>
        <v>0</v>
      </c>
      <c r="F21" s="15" t="s">
        <v>28</v>
      </c>
    </row>
    <row r="22" customFormat="false" ht="15" hidden="false" customHeight="false" outlineLevel="0" collapsed="false">
      <c r="A22" s="11" t="n">
        <v>7</v>
      </c>
      <c r="B22" s="16" t="s">
        <v>29</v>
      </c>
      <c r="C22" s="17" t="n">
        <v>0</v>
      </c>
      <c r="D22" s="14" t="n">
        <f aca="false">INDEX(Cenovnik!$B$5:$B$19,MATCH("Modul GGAP",Cenovnik!$A$5:$A$19,0))</f>
        <v>1000</v>
      </c>
      <c r="E22" s="14" t="n">
        <f aca="false">C22*D22</f>
        <v>0</v>
      </c>
      <c r="F22" s="15" t="s">
        <v>30</v>
      </c>
    </row>
    <row r="23" customFormat="false" ht="15" hidden="false" customHeight="false" outlineLevel="0" collapsed="false">
      <c r="A23" s="11" t="n">
        <v>8</v>
      </c>
      <c r="B23" s="16" t="s">
        <v>31</v>
      </c>
      <c r="C23" s="17" t="n">
        <v>0</v>
      </c>
      <c r="D23" s="14" t="n">
        <f aca="false">INDEX(Cenovnik!$B$5:$B$19,MATCH("Gazdinstvo Pro — kanalska cena",Cenovnik!$A$5:$A$19,0))</f>
        <v>20</v>
      </c>
      <c r="E23" s="14" t="n">
        <f aca="false">C23*D23</f>
        <v>0</v>
      </c>
      <c r="F23" s="15" t="s">
        <v>32</v>
      </c>
    </row>
    <row r="24" customFormat="false" ht="15" hidden="false" customHeight="false" outlineLevel="0" collapsed="false">
      <c r="A24" s="11" t="n">
        <v>9</v>
      </c>
      <c r="B24" s="16" t="s">
        <v>33</v>
      </c>
      <c r="C24" s="17" t="n">
        <v>0</v>
      </c>
      <c r="D24" s="14" t="n">
        <f aca="false">INDEX(Cenovnik!$B$5:$B$19,MATCH("Hardverska podrška — po stanici",Cenovnik!$A$5:$A$19,0))</f>
        <v>40</v>
      </c>
      <c r="E24" s="14" t="n">
        <f aca="false">IF(C24=0,0,MAX(INDEX(Cenovnik!$B$5:$B$19,MATCH("Hardverska podrška — minimum",Cenovnik!$A$5:$A$19,0)),$F$16*D24))</f>
        <v>0</v>
      </c>
      <c r="F24" s="15" t="s">
        <v>34</v>
      </c>
    </row>
    <row r="26" customFormat="false" ht="19.7" hidden="false" customHeight="false" outlineLevel="0" collapsed="false">
      <c r="A26" s="19"/>
      <c r="B26" s="20" t="s">
        <v>35</v>
      </c>
      <c r="C26" s="19"/>
      <c r="D26" s="19"/>
      <c r="E26" s="21" t="n">
        <f aca="false">SUM(E15:E24)</f>
        <v>1350</v>
      </c>
      <c r="F26" s="19"/>
    </row>
    <row r="27" customFormat="false" ht="15" hidden="false" customHeight="false" outlineLevel="0" collapsed="false">
      <c r="B27" s="18" t="s">
        <v>36</v>
      </c>
      <c r="C27" s="22" t="n">
        <v>117</v>
      </c>
      <c r="E27" s="23" t="n">
        <f aca="false">E26*C27</f>
        <v>157950</v>
      </c>
      <c r="F27" s="18" t="s">
        <v>37</v>
      </c>
    </row>
    <row r="29" customFormat="false" ht="15" hidden="false" customHeight="false" outlineLevel="0" collapsed="false">
      <c r="A29" s="7" t="s">
        <v>38</v>
      </c>
    </row>
    <row r="30" customFormat="false" ht="15" hidden="false" customHeight="false" outlineLevel="0" collapsed="false">
      <c r="A30" s="24"/>
      <c r="B30" s="24" t="s">
        <v>39</v>
      </c>
      <c r="C30" s="24" t="s">
        <v>40</v>
      </c>
      <c r="D30" s="24" t="s">
        <v>16</v>
      </c>
      <c r="E30" s="24" t="s">
        <v>17</v>
      </c>
      <c r="F30" s="24" t="s">
        <v>18</v>
      </c>
    </row>
    <row r="31" customFormat="false" ht="15" hidden="false" customHeight="false" outlineLevel="0" collapsed="false">
      <c r="A31" s="25"/>
      <c r="B31" s="16" t="s">
        <v>41</v>
      </c>
      <c r="C31" s="17" t="n">
        <v>0</v>
      </c>
      <c r="D31" s="14" t="n">
        <f aca="false">INDEX(Cenovnik!$B$5:$B$19,MATCH("Satnica — razvoj i migracija",Cenovnik!$A$5:$A$19,0))</f>
        <v>50</v>
      </c>
      <c r="E31" s="14" t="n">
        <f aca="false">C31*D31</f>
        <v>0</v>
      </c>
      <c r="F31" s="15" t="s">
        <v>42</v>
      </c>
    </row>
    <row r="32" customFormat="false" ht="15" hidden="false" customHeight="false" outlineLevel="0" collapsed="false">
      <c r="A32" s="25"/>
      <c r="B32" s="16" t="s">
        <v>43</v>
      </c>
      <c r="C32" s="17" t="n">
        <v>0</v>
      </c>
      <c r="D32" s="14" t="n">
        <f aca="false">INDEX(Cenovnik!$B$5:$B$19,MATCH("Satnica — obuka preko 5 sati",Cenovnik!$A$5:$A$19,0))</f>
        <v>30</v>
      </c>
      <c r="E32" s="14" t="n">
        <f aca="false">C32*D32</f>
        <v>0</v>
      </c>
      <c r="F32" s="15" t="s">
        <v>44</v>
      </c>
    </row>
    <row r="33" customFormat="false" ht="15" hidden="false" customHeight="false" outlineLevel="0" collapsed="false">
      <c r="A33" s="25"/>
      <c r="B33" s="16" t="s">
        <v>45</v>
      </c>
      <c r="C33" s="17" t="n">
        <v>0</v>
      </c>
      <c r="D33" s="14" t="n">
        <f aca="false">INDEX(Cenovnik!$B$5:$B$19,MATCH("Satnica — razvoj i migracija",Cenovnik!$A$5:$A$19,0))</f>
        <v>50</v>
      </c>
      <c r="E33" s="14" t="n">
        <f aca="false">C33*D33</f>
        <v>0</v>
      </c>
      <c r="F33" s="15" t="s">
        <v>46</v>
      </c>
    </row>
    <row r="34" customFormat="false" ht="15" hidden="false" customHeight="false" outlineLevel="0" collapsed="false">
      <c r="A34" s="19"/>
      <c r="B34" s="20" t="s">
        <v>47</v>
      </c>
      <c r="C34" s="19"/>
      <c r="D34" s="19"/>
      <c r="E34" s="26" t="n">
        <f aca="false">SUM(E31:E33)</f>
        <v>0</v>
      </c>
      <c r="F34" s="19"/>
    </row>
    <row r="36" customFormat="false" ht="15" hidden="false" customHeight="false" outlineLevel="0" collapsed="false">
      <c r="A36" s="7" t="s">
        <v>48</v>
      </c>
    </row>
    <row r="37" customFormat="false" ht="15" hidden="false" customHeight="false" outlineLevel="0" collapsed="false">
      <c r="B37" s="8" t="s">
        <v>49</v>
      </c>
    </row>
    <row r="38" customFormat="false" ht="15" hidden="false" customHeight="false" outlineLevel="0" collapsed="false">
      <c r="B38" s="8" t="s">
        <v>50</v>
      </c>
    </row>
    <row r="39" customFormat="false" ht="15" hidden="false" customHeight="false" outlineLevel="0" collapsed="false">
      <c r="B39" s="8" t="s">
        <v>51</v>
      </c>
    </row>
    <row r="40" customFormat="false" ht="15" hidden="false" customHeight="false" outlineLevel="0" collapsed="false">
      <c r="B40" s="8" t="s">
        <v>52</v>
      </c>
    </row>
    <row r="41" customFormat="false" ht="15" hidden="false" customHeight="false" outlineLevel="0" collapsed="false">
      <c r="B41" s="8" t="s">
        <v>53</v>
      </c>
    </row>
    <row r="42" customFormat="false" ht="15" hidden="false" customHeight="false" outlineLevel="0" collapsed="false">
      <c r="B42" s="8" t="s">
        <v>54</v>
      </c>
    </row>
    <row r="44" customFormat="false" ht="15" hidden="false" customHeight="false" outlineLevel="0" collapsed="false">
      <c r="A44" s="7" t="s">
        <v>55</v>
      </c>
    </row>
    <row r="45" customFormat="false" ht="15" hidden="false" customHeight="false" outlineLevel="0" collapsed="false">
      <c r="B45" s="8" t="s">
        <v>56</v>
      </c>
    </row>
    <row r="46" customFormat="false" ht="15" hidden="false" customHeight="false" outlineLevel="0" collapsed="false">
      <c r="B46" s="8" t="s">
        <v>57</v>
      </c>
    </row>
    <row r="47" customFormat="false" ht="15" hidden="false" customHeight="false" outlineLevel="0" collapsed="false">
      <c r="B47" s="8" t="s">
        <v>58</v>
      </c>
    </row>
    <row r="48" customFormat="false" ht="15" hidden="false" customHeight="false" outlineLevel="0" collapsed="false">
      <c r="B48" s="8" t="s">
        <v>59</v>
      </c>
    </row>
    <row r="49" customFormat="false" ht="15" hidden="false" customHeight="false" outlineLevel="0" collapsed="false">
      <c r="B49" s="8" t="s">
        <v>60</v>
      </c>
    </row>
    <row r="52" customFormat="false" ht="15" hidden="false" customHeight="false" outlineLevel="0" collapsed="false">
      <c r="B52" s="7" t="s">
        <v>61</v>
      </c>
    </row>
    <row r="55" customFormat="false" ht="15" hidden="false" customHeight="false" outlineLevel="0" collapsed="false">
      <c r="B55" s="8" t="s">
        <v>62</v>
      </c>
      <c r="E55" s="8" t="s">
        <v>62</v>
      </c>
    </row>
    <row r="56" customFormat="false" ht="15" hidden="false" customHeight="false" outlineLevel="0" collapsed="false">
      <c r="B56" s="18" t="s">
        <v>63</v>
      </c>
      <c r="E56" s="18" t="s">
        <v>64</v>
      </c>
    </row>
  </sheetData>
  <mergeCells count="5">
    <mergeCell ref="C7:F7"/>
    <mergeCell ref="C8:F8"/>
    <mergeCell ref="C9:F9"/>
    <mergeCell ref="C10:F10"/>
    <mergeCell ref="C11:F11"/>
  </mergeCells>
  <dataValidations count="1">
    <dataValidation allowBlank="false" errorStyle="stop" operator="between" showDropDown="false" showErrorMessage="false" showInputMessage="false" sqref="B15" type="list">
      <formula1>Cenovnik!$E$5:$E$8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5" min="5" style="0" width="24"/>
    <col collapsed="false" customWidth="true" hidden="false" outlineLevel="0" max="6" min="6" style="0" width="8"/>
  </cols>
  <sheetData>
    <row r="1" customFormat="false" ht="16.15" hidden="false" customHeight="false" outlineLevel="0" collapsed="false">
      <c r="A1" s="27" t="s">
        <v>65</v>
      </c>
    </row>
    <row r="2" customFormat="false" ht="15" hidden="false" customHeight="false" outlineLevel="0" collapsed="false">
      <c r="A2" s="18" t="s">
        <v>66</v>
      </c>
    </row>
    <row r="4" customFormat="false" ht="15" hidden="false" customHeight="false" outlineLevel="0" collapsed="false">
      <c r="A4" s="28" t="s">
        <v>14</v>
      </c>
      <c r="B4" s="28" t="s">
        <v>16</v>
      </c>
      <c r="C4" s="28" t="s">
        <v>67</v>
      </c>
      <c r="E4" s="7" t="s">
        <v>68</v>
      </c>
      <c r="F4" s="7" t="s">
        <v>69</v>
      </c>
    </row>
    <row r="5" customFormat="false" ht="15" hidden="false" customHeight="false" outlineLevel="0" collapsed="false">
      <c r="A5" s="16" t="s">
        <v>70</v>
      </c>
      <c r="B5" s="14" t="n">
        <v>500</v>
      </c>
      <c r="C5" s="15" t="s">
        <v>71</v>
      </c>
      <c r="E5" s="8" t="s">
        <v>70</v>
      </c>
      <c r="F5" s="29" t="s">
        <v>72</v>
      </c>
    </row>
    <row r="6" customFormat="false" ht="15" hidden="false" customHeight="false" outlineLevel="0" collapsed="false">
      <c r="A6" s="16" t="s">
        <v>19</v>
      </c>
      <c r="B6" s="14" t="n">
        <v>1100</v>
      </c>
      <c r="C6" s="15" t="s">
        <v>71</v>
      </c>
      <c r="E6" s="8" t="s">
        <v>19</v>
      </c>
      <c r="F6" s="29" t="s">
        <v>73</v>
      </c>
    </row>
    <row r="7" customFormat="false" ht="15" hidden="false" customHeight="false" outlineLevel="0" collapsed="false">
      <c r="A7" s="16" t="s">
        <v>74</v>
      </c>
      <c r="B7" s="14" t="n">
        <v>1500</v>
      </c>
      <c r="C7" s="15" t="s">
        <v>71</v>
      </c>
      <c r="E7" s="8" t="s">
        <v>74</v>
      </c>
    </row>
    <row r="8" customFormat="false" ht="15" hidden="false" customHeight="false" outlineLevel="0" collapsed="false">
      <c r="A8" s="16" t="s">
        <v>75</v>
      </c>
      <c r="B8" s="14" t="n">
        <v>2100</v>
      </c>
      <c r="C8" s="15" t="s">
        <v>71</v>
      </c>
      <c r="E8" s="8" t="s">
        <v>75</v>
      </c>
    </row>
    <row r="9" customFormat="false" ht="15" hidden="false" customHeight="false" outlineLevel="0" collapsed="false">
      <c r="A9" s="16" t="s">
        <v>76</v>
      </c>
      <c r="B9" s="14" t="n">
        <v>50</v>
      </c>
      <c r="C9" s="15" t="s">
        <v>77</v>
      </c>
    </row>
    <row r="10" customFormat="false" ht="15" hidden="false" customHeight="false" outlineLevel="0" collapsed="false">
      <c r="A10" s="16" t="s">
        <v>25</v>
      </c>
      <c r="B10" s="14" t="n">
        <v>200</v>
      </c>
      <c r="C10" s="15" t="s">
        <v>78</v>
      </c>
    </row>
    <row r="11" customFormat="false" ht="15" hidden="false" customHeight="false" outlineLevel="0" collapsed="false">
      <c r="A11" s="16" t="s">
        <v>26</v>
      </c>
      <c r="B11" s="14" t="n">
        <v>200</v>
      </c>
      <c r="C11" s="15" t="s">
        <v>78</v>
      </c>
    </row>
    <row r="12" customFormat="false" ht="15" hidden="false" customHeight="false" outlineLevel="0" collapsed="false">
      <c r="A12" s="16" t="s">
        <v>27</v>
      </c>
      <c r="B12" s="14" t="n">
        <v>200</v>
      </c>
      <c r="C12" s="15" t="s">
        <v>79</v>
      </c>
    </row>
    <row r="13" customFormat="false" ht="15" hidden="false" customHeight="false" outlineLevel="0" collapsed="false">
      <c r="A13" s="16" t="s">
        <v>23</v>
      </c>
      <c r="B13" s="14" t="n">
        <v>400</v>
      </c>
      <c r="C13" s="15" t="s">
        <v>78</v>
      </c>
    </row>
    <row r="14" customFormat="false" ht="15" hidden="false" customHeight="false" outlineLevel="0" collapsed="false">
      <c r="A14" s="16" t="s">
        <v>29</v>
      </c>
      <c r="B14" s="14" t="n">
        <v>1000</v>
      </c>
      <c r="C14" s="15" t="s">
        <v>80</v>
      </c>
    </row>
    <row r="15" customFormat="false" ht="15" hidden="false" customHeight="false" outlineLevel="0" collapsed="false">
      <c r="A15" s="16" t="s">
        <v>81</v>
      </c>
      <c r="B15" s="14" t="n">
        <v>20</v>
      </c>
      <c r="C15" s="15" t="s">
        <v>82</v>
      </c>
    </row>
    <row r="16" customFormat="false" ht="15" hidden="false" customHeight="false" outlineLevel="0" collapsed="false">
      <c r="A16" s="16" t="s">
        <v>83</v>
      </c>
      <c r="B16" s="14" t="n">
        <v>40</v>
      </c>
      <c r="C16" s="15" t="s">
        <v>84</v>
      </c>
    </row>
    <row r="17" customFormat="false" ht="15" hidden="false" customHeight="false" outlineLevel="0" collapsed="false">
      <c r="A17" s="16" t="s">
        <v>85</v>
      </c>
      <c r="B17" s="14" t="n">
        <v>200</v>
      </c>
      <c r="C17" s="15" t="s">
        <v>84</v>
      </c>
    </row>
    <row r="18" customFormat="false" ht="15" hidden="false" customHeight="false" outlineLevel="0" collapsed="false">
      <c r="A18" s="16" t="s">
        <v>86</v>
      </c>
      <c r="B18" s="14" t="n">
        <v>50</v>
      </c>
      <c r="C18" s="15" t="s">
        <v>87</v>
      </c>
    </row>
    <row r="19" customFormat="false" ht="15" hidden="false" customHeight="false" outlineLevel="0" collapsed="false">
      <c r="A19" s="16" t="s">
        <v>88</v>
      </c>
      <c r="B19" s="14" t="n">
        <v>30</v>
      </c>
      <c r="C19" s="15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27" t="s">
        <v>90</v>
      </c>
    </row>
    <row r="3" customFormat="false" ht="15" hidden="false" customHeight="false" outlineLevel="0" collapsed="false">
      <c r="A3" s="30"/>
    </row>
    <row r="4" customFormat="false" ht="15" hidden="false" customHeight="false" outlineLevel="0" collapsed="false">
      <c r="A4" s="30" t="s">
        <v>91</v>
      </c>
    </row>
    <row r="5" customFormat="false" ht="15" hidden="false" customHeight="false" outlineLevel="0" collapsed="false">
      <c r="A5" s="30"/>
    </row>
    <row r="6" customFormat="false" ht="15" hidden="false" customHeight="false" outlineLevel="0" collapsed="false">
      <c r="A6" s="30" t="s">
        <v>92</v>
      </c>
    </row>
    <row r="7" customFormat="false" ht="15" hidden="false" customHeight="false" outlineLevel="0" collapsed="false">
      <c r="A7" s="30" t="s">
        <v>93</v>
      </c>
    </row>
    <row r="8" customFormat="false" ht="15" hidden="false" customHeight="false" outlineLevel="0" collapsed="false">
      <c r="A8" s="30" t="s">
        <v>94</v>
      </c>
    </row>
    <row r="9" customFormat="false" ht="15" hidden="false" customHeight="false" outlineLevel="0" collapsed="false">
      <c r="A9" s="30" t="s">
        <v>95</v>
      </c>
    </row>
    <row r="10" customFormat="false" ht="15" hidden="false" customHeight="false" outlineLevel="0" collapsed="false">
      <c r="A10" s="30" t="s">
        <v>96</v>
      </c>
    </row>
    <row r="11" customFormat="false" ht="15" hidden="false" customHeight="false" outlineLevel="0" collapsed="false">
      <c r="A11" s="30" t="s">
        <v>97</v>
      </c>
    </row>
    <row r="12" customFormat="false" ht="15" hidden="false" customHeight="false" outlineLevel="0" collapsed="false">
      <c r="A12" s="30" t="s">
        <v>98</v>
      </c>
    </row>
    <row r="13" customFormat="false" ht="15" hidden="false" customHeight="false" outlineLevel="0" collapsed="false">
      <c r="A13" s="30" t="s">
        <v>99</v>
      </c>
    </row>
    <row r="14" customFormat="false" ht="15" hidden="false" customHeight="false" outlineLevel="0" collapsed="false">
      <c r="A14" s="30" t="s">
        <v>100</v>
      </c>
    </row>
    <row r="15" customFormat="false" ht="15" hidden="false" customHeight="false" outlineLevel="0" collapsed="false">
      <c r="A15" s="30"/>
    </row>
    <row r="16" customFormat="false" ht="15" hidden="false" customHeight="false" outlineLevel="0" collapsed="false">
      <c r="A16" s="30" t="s">
        <v>101</v>
      </c>
    </row>
    <row r="17" customFormat="false" ht="15" hidden="false" customHeight="false" outlineLevel="0" collapsed="false">
      <c r="A17" s="30"/>
    </row>
    <row r="18" customFormat="false" ht="15" hidden="false" customHeight="false" outlineLevel="0" collapsed="false">
      <c r="A18" s="31" t="s">
        <v>102</v>
      </c>
    </row>
    <row r="19" customFormat="false" ht="15" hidden="false" customHeight="false" outlineLevel="0" collapsed="false">
      <c r="A19" s="30" t="s">
        <v>103</v>
      </c>
    </row>
    <row r="20" customFormat="false" ht="15" hidden="false" customHeight="false" outlineLevel="0" collapsed="false">
      <c r="A20" s="30" t="s">
        <v>104</v>
      </c>
    </row>
    <row r="21" customFormat="false" ht="15" hidden="false" customHeight="false" outlineLevel="0" collapsed="false">
      <c r="A21" s="30" t="s">
        <v>105</v>
      </c>
    </row>
    <row r="22" customFormat="false" ht="15" hidden="false" customHeight="false" outlineLevel="0" collapsed="false">
      <c r="A22" s="30" t="s">
        <v>106</v>
      </c>
    </row>
    <row r="23" customFormat="false" ht="15" hidden="false" customHeight="false" outlineLevel="0" collapsed="false">
      <c r="A23" s="30"/>
    </row>
    <row r="24" customFormat="false" ht="15" hidden="false" customHeight="false" outlineLevel="0" collapsed="false">
      <c r="A24" s="30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2026-07-26T20:43:34Z</dcterms:created>
  <dc:creator>openpyxl</dc:creator>
  <dc:description/>
  <dc:language>en-US</dc:language>
  <cp:lastModifiedBy/>
  <dcterms:modified xsi:type="dcterms:W3CDTF">2026-07-26T20:43:34Z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